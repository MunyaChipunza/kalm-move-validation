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77ad0d370824a19" /></Relationships>
</file>

<file path=xl/workbook.xml><?xml version="1.0" encoding="utf-8"?>
<x:workbook xmlns:x="http://schemas.openxmlformats.org/spreadsheetml/2006/main">
  <x:sheets>
    <x:sheet xmlns:r="http://schemas.openxmlformats.org/officeDocument/2006/relationships" name="Read me" sheetId="1" r:id="Rd0f8c9e748174312"/>
    <x:sheet xmlns:r="http://schemas.openxmlformats.org/officeDocument/2006/relationships" name="Inputs" sheetId="2" r:id="Ra5e0af99def147a9"/>
    <x:sheet xmlns:r="http://schemas.openxmlformats.org/officeDocument/2006/relationships" name="Quantity scenarios" sheetId="3" r:id="Rf190be49876e48b0"/>
    <x:sheet xmlns:r="http://schemas.openxmlformats.org/officeDocument/2006/relationships" name="ODO sensitivity" sheetId="4" r:id="Rddda92d4e76d4b02"/>
    <x:sheet xmlns:r="http://schemas.openxmlformats.org/officeDocument/2006/relationships" name="Checks" sheetId="5" r:id="Rbef4158669b44c6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quot;R&quot;#,##0;[Red](&quot;R&quot;#,##0);-"/>
    <x:numFmt numFmtId="201" formatCode="0.0%;[Red](0.0%);-"/>
  </x:numFmts>
  <x:fonts count="3">
    <x:font>
      <x:sz val="11"/>
      <x:name val="Carlito"/>
    </x:font>
    <x:font>
      <x:b/>
      <x:sz val="15"/>
      <x:color rgb="FFFFFFFF"/>
      <x:name val="Carlito"/>
    </x:font>
    <x:font>
      <x:b/>
      <x:sz val="11"/>
      <x:color rgb="FF172A28"/>
      <x:name val="Carlito"/>
    </x:font>
  </x:fonts>
  <x:fills count="5">
    <x:fill>
      <x:patternFill patternType="none"/>
    </x:fill>
    <x:fill>
      <x:patternFill patternType="gray125"/>
    </x:fill>
    <x:fill>
      <x:patternFill patternType="solid">
        <x:fgColor rgb="FF172A28"/>
      </x:patternFill>
    </x:fill>
    <x:fill>
      <x:patternFill patternType="solid">
        <x:fgColor rgb="FFFFF2CC"/>
      </x:patternFill>
    </x:fill>
    <x:fill>
      <x:patternFill patternType="solid">
        <x:fgColor rgb="FFF3EFE6"/>
      </x:patternFill>
    </x:fill>
  </x:fills>
  <x:borders count="2">
    <x:border/>
    <x:border>
      <x:left style="thin">
        <x:color rgb="FFD6D1C7"/>
      </x:left>
      <x:right style="thin">
        <x:color rgb="FFD6D1C7"/>
      </x:right>
      <x:top style="thin">
        <x:color rgb="FFD6D1C7"/>
      </x:top>
      <x:bottom style="thin">
        <x:color rgb="FFD6D1C7"/>
      </x:bottom>
    </x:border>
  </x:borders>
  <x:cellStyleXfs count="1">
    <x:xf numFmtId="0" fontId="0" fillId="0" borderId="0"/>
  </x:cellStyleXfs>
  <x:cellXfs count="1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0" fillId="3" borderId="0"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1" xfId="0" applyNumberFormat="1" applyFont="1" applyFill="1" applyBorder="1" applyAlignment="1">
      <x:alignment wrapText="1"/>
    </x:xf>
    <x:xf numFmtId="0" fontId="2" fillId="4" borderId="1" xfId="0" applyNumberFormat="1" applyFont="1" applyFill="1" applyBorder="1" applyAlignment="1">
      <x:alignment vertical="center" wrapText="1"/>
    </x:xf>
    <x:xf numFmtId="0" fontId="0" fillId="0" borderId="1" xfId="0" applyNumberFormat="1" applyFont="1" applyFill="1" applyBorder="1"/>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0" fillId="4"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1ebd9c42187450a" /><Relationship Type="http://schemas.openxmlformats.org/officeDocument/2006/relationships/theme" Target="/xl/theme/theme1.xml" Id="R95faa9ee68504ba7" /><Relationship Type="http://schemas.openxmlformats.org/officeDocument/2006/relationships/sharedStrings" Target="/xl/sharedStrings.xml" Id="Ra6bf3b5f379f450f" /><Relationship Type="http://schemas.openxmlformats.org/officeDocument/2006/relationships/worksheet" Target="/xl/worksheets/sheet1.xml" Id="Rd0f8c9e748174312" /><Relationship Type="http://schemas.openxmlformats.org/officeDocument/2006/relationships/worksheet" Target="/xl/worksheets/sheet2.xml" Id="Ra5e0af99def147a9" /><Relationship Type="http://schemas.openxmlformats.org/officeDocument/2006/relationships/worksheet" Target="/xl/worksheets/sheet3.xml" Id="Rf190be49876e48b0" /><Relationship Type="http://schemas.openxmlformats.org/officeDocument/2006/relationships/worksheet" Target="/xl/worksheets/sheet4.xml" Id="Rddda92d4e76d4b02" /><Relationship Type="http://schemas.openxmlformats.org/officeDocument/2006/relationships/worksheet" Target="/xl/worksheets/sheet5.xml" Id="Rbef4158669b44c6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5" hidden="0" customWidth="1"/>
    <x:col min="3" max="3" width="18" hidden="0" customWidth="1"/>
    <x:col min="4" max="4" width="13" hidden="0" customWidth="1"/>
    <x:col min="5" max="5" width="19" hidden="0" customWidth="1"/>
    <x:col min="6" max="6" width="18" hidden="0" customWidth="1"/>
    <x:col min="7" max="7" width="19" hidden="0" customWidth="1"/>
    <x:col min="8" max="8" width="33" hidden="0" customWidth="1"/>
  </x:cols>
  <x:sheetData>
    <x:row r="1" ht="28" customHeight="1">
      <x:c r="A1" s="4" t="str">
        <x:v>KALM COLLECTIVE — ODO PREMIUM EMBROIDERED T-SHIRT UNIT ECONOMICS</x:v>
      </x:c>
      <x:c r="B1" s="4" t="str">
        <x:v>KALM COLLECTIVE — ODO PREMIUM EMBROIDERED T-SHIRT UNIT ECONOMICS</x:v>
      </x:c>
      <x:c r="C1" s="4" t="str">
        <x:v>KALM COLLECTIVE — ODO PREMIUM EMBROIDERED T-SHIRT UNIT ECONOMICS</x:v>
      </x:c>
      <x:c r="D1" s="4" t="str">
        <x:v>KALM COLLECTIVE — ODO PREMIUM EMBROIDERED T-SHIRT UNIT ECONOMICS</x:v>
      </x:c>
      <x:c r="E1" s="4" t="str">
        <x:v>KALM COLLECTIVE — ODO PREMIUM EMBROIDERED T-SHIRT UNIT ECONOMICS</x:v>
      </x:c>
      <x:c r="F1" s="4" t="str">
        <x:v>KALM COLLECTIVE — ODO PREMIUM EMBROIDERED T-SHIRT UNIT ECONOMICS</x:v>
      </x:c>
      <x:c r="G1" s="4" t="str">
        <x:v>KALM COLLECTIVE — ODO PREMIUM EMBROIDERED T-SHIRT UNIT ECONOMICS</x:v>
      </x:c>
      <x:c r="H1" s="4" t="str">
        <x:v>KALM COLLECTIVE — ODO PREMIUM EMBROIDERED T-SHIRT UNIT ECONOMICS</x:v>
      </x:c>
    </x:row>
    <x:row r="3" ht="45" customHeight="1">
      <x:c r="A3" s="6" t="str">
        <x:v>Draft-only model. VAT-inclusive supplier costs are used as cash cost because current NCC context records KALM as not VAT registered. Packaging, transport, rejects, returns, ODO margin and stock are pending written confirmation. No launch or offer is authorised by this workbook.</x:v>
      </x:c>
    </x:row>
    <x:row r="5">
      <x:c r="A5" s="11" t="str">
        <x:v>Recommended review configuration</x:v>
      </x:c>
      <x:c r="B5" s="11" t="str">
        <x:v>KALM retail</x:v>
      </x:c>
      <x:c r="C5" s="11" t="str">
        <x:v>Illustrative ODO price</x:v>
      </x:c>
      <x:c r="D5" s="11" t="str">
        <x:v>ODO margin</x:v>
      </x:c>
      <x:c r="E5" s="11" t="str">
        <x:v>ODO supplier proceeds</x:v>
      </x:c>
      <x:c r="F5" s="11" t="str">
        <x:v>300gsm verified base</x:v>
      </x:c>
      <x:c r="G5" s="11" t="str">
        <x:v>Provisional GP/unit</x:v>
      </x:c>
      <x:c r="H5" s="11" t="str">
        <x:v>Status</x:v>
      </x:c>
    </x:row>
    <x:row r="6">
      <x:c r="A6" s="14" t="str">
        <x:v>KALM Buffalo Heavyweight Tee</x:v>
      </x:c>
      <x:c r="B6" s="15" t="n">
        <x:v>699</x:v>
      </x:c>
      <x:c r="C6" s="15" t="n">
        <x:v>449</x:v>
      </x:c>
      <x:c r="D6" s="16" t="n">
        <x:v>0.25</x:v>
      </x:c>
      <x:c r="E6" s="15" t="n">
        <x:f>C6*(1-D6)</x:f>
        <x:v>336.75</x:v>
      </x:c>
      <x:c r="F6" s="15" t="n">
        <x:f>'Inputs'!D4+'Inputs'!E4</x:f>
        <x:v>274</x:v>
      </x:c>
      <x:c r="G6" s="15" t="n">
        <x:f>E6-F6</x:f>
        <x:v>62.75</x:v>
      </x:c>
      <x:c r="H6" s="14" t="str">
        <x:f>IF(G6&gt;0,"Provisional positive contribution","Not viable")</x:f>
        <x:v>Provisional positive contribution</x:v>
      </x:c>
    </x:row>
    <x:row r="8" ht="30" customHeight="1">
      <x:c r="A8" s="17" t="str">
        <x:v>No unknown cost is set to a fictional amount. The formula outputs exclude items that are labelled PENDING QUOTE; therefore no net-margin decision is permitted from this model alone.</x:v>
      </x:c>
    </x:row>
  </x:sheetData>
  <x:mergeCells>
    <x:mergeCell ref="A1:H1"/>
    <x:mergeCell ref="A3:H3"/>
    <x:mergeCell ref="A8:H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1" hidden="0" customWidth="1"/>
    <x:col min="2" max="2" width="16" hidden="0" customWidth="1"/>
    <x:col min="3" max="3" width="26" hidden="0" customWidth="1"/>
    <x:col min="4" max="4" width="20" hidden="0" customWidth="1"/>
    <x:col min="5" max="5" width="17" hidden="0" customWidth="1"/>
    <x:col min="6" max="6" width="23" hidden="0" customWidth="1"/>
    <x:col min="7" max="7" width="53" hidden="0" customWidth="1"/>
  </x:cols>
  <x:sheetData>
    <x:row r="1" ht="28" customHeight="1">
      <x:c r="A1" s="4" t="str">
        <x:v>INPUTS — SOURCED VALUES AND OPEN COSTS</x:v>
      </x:c>
      <x:c r="B1" s="4" t="str">
        <x:v>INPUTS — SOURCED VALUES AND OPEN COSTS</x:v>
      </x:c>
      <x:c r="C1" s="4" t="str">
        <x:v>INPUTS — SOURCED VALUES AND OPEN COSTS</x:v>
      </x:c>
      <x:c r="D1" s="4" t="str">
        <x:v>INPUTS — SOURCED VALUES AND OPEN COSTS</x:v>
      </x:c>
      <x:c r="E1" s="4" t="str">
        <x:v>INPUTS — SOURCED VALUES AND OPEN COSTS</x:v>
      </x:c>
      <x:c r="F1" s="4" t="str">
        <x:v>INPUTS — SOURCED VALUES AND OPEN COSTS</x:v>
      </x:c>
      <x:c r="G1" s="4" t="str">
        <x:v>INPUTS — SOURCED VALUES AND OPEN COSTS</x:v>
      </x:c>
    </x:row>
    <x:row r="3">
      <x:c r="A3" s="11" t="str">
        <x:v>Option</x:v>
      </x:c>
      <x:c r="B3" s="11" t="str">
        <x:v>GSM</x:v>
      </x:c>
      <x:c r="C3" s="11" t="str">
        <x:v>Supplier</x:v>
      </x:c>
      <x:c r="D3" s="11" t="str">
        <x:v>Blank cost incl VAT</x:v>
      </x:c>
      <x:c r="E3" s="11" t="str">
        <x:v>Embroidery incl VAT</x:v>
      </x:c>
      <x:c r="F3" s="11" t="str">
        <x:v>ODO warehouse courier</x:v>
      </x:c>
      <x:c r="G3" s="11" t="str">
        <x:v>Source / status</x:v>
      </x:c>
    </x:row>
    <x:row r="4">
      <x:c r="A4" s="14" t="str">
        <x:v>300gsm Oversized Cotton</x:v>
      </x:c>
      <x:c r="B4" s="14" t="n">
        <x:v>300</x:v>
      </x:c>
      <x:c r="C4" s="14" t="str">
        <x:v>T-Shirts Cape Town</x:v>
      </x:c>
      <x:c r="D4" s="15" t="n">
        <x:v>189</x:v>
      </x:c>
      <x:c r="E4" s="15" t="n">
        <x:v>85</x:v>
      </x:c>
      <x:c r="F4" s="15" t="n">
        <x:v>0</x:v>
      </x:c>
      <x:c r="G4" s="14" t="str">
        <x:v>Current page baseline; stock, final price and VAT invoice pending</x:v>
      </x:c>
    </x:row>
    <x:row r="5">
      <x:c r="A5" s="14" t="str">
        <x:v>240gsm Oversized</x:v>
      </x:c>
      <x:c r="B5" s="14" t="n">
        <x:v>240</x:v>
      </x:c>
      <x:c r="C5" s="14" t="str">
        <x:v>T-Shirts Cape Town</x:v>
      </x:c>
      <x:c r="D5" s="15" t="n">
        <x:v>125</x:v>
      </x:c>
      <x:c r="E5" s="15" t="n">
        <x:v>85</x:v>
      </x:c>
      <x:c r="F5" s="15" t="n">
        <x:v>0</x:v>
      </x:c>
      <x:c r="G5" s="14" t="str">
        <x:v>Current page baseline; stock, final price and VAT invoice pending</x:v>
      </x:c>
    </x:row>
    <x:row r="6">
      <x:c r="A6" s="14" t="str">
        <x:v>220gsm Cotton</x:v>
      </x:c>
      <x:c r="B6" s="14" t="n">
        <x:v>220</x:v>
      </x:c>
      <x:c r="C6" s="14" t="str">
        <x:v>T-Shirts Cape Town</x:v>
      </x:c>
      <x:c r="D6" s="15" t="n">
        <x:v>105</x:v>
      </x:c>
      <x:c r="E6" s="15" t="n">
        <x:v>85</x:v>
      </x:c>
      <x:c r="F6" s="15" t="n">
        <x:v>0</x:v>
      </x:c>
      <x:c r="G6" s="14" t="str">
        <x:v>Current product-page baseline; conflicts with price list and needs written confirmation</x:v>
      </x:c>
    </x:row>
    <x:row r="8">
      <x:c r="A8" s="11" t="str">
        <x:v>Pending cost</x:v>
      </x:c>
      <x:c r="B8" s="11" t="str">
        <x:v>Value used</x:v>
      </x:c>
      <x:c r="C8" s="11" t="str">
        <x:v>Treatment</x:v>
      </x:c>
      <x:c r="D8" s="11" t="str">
        <x:v>Why</x:v>
      </x:c>
      <x:c r="E8" s="11" t="str">
        <x:v>Owner</x:v>
      </x:c>
      <x:c r="F8" s="11" t="str">
        <x:v>Gate</x:v>
      </x:c>
      <x:c r="G8" s="11" t="str">
        <x:v>Status</x:v>
      </x:c>
    </x:row>
    <x:row r="9">
      <x:c r="A9" s="14" t="str">
        <x:v>Packaging</x:v>
      </x:c>
      <x:c r="B9" s="15" t="n">
        <x:v>0</x:v>
      </x:c>
      <x:c r="C9" s="14" t="str">
        <x:v>Excluded from provisional GP</x:v>
      </x:c>
      <x:c r="D9" s="14" t="str">
        <x:v>No verified quote</x:v>
      </x:c>
      <x:c r="E9" s="14" t="str">
        <x:v>KALM</x:v>
      </x:c>
      <x:c r="F9" s="14" t="str">
        <x:v>Sample / quote</x:v>
      </x:c>
      <x:c r="G9" s="14" t="str">
        <x:v>PENDING QUOTE</x:v>
      </x:c>
    </x:row>
    <x:row r="10">
      <x:c r="A10" s="14" t="str">
        <x:v>Hang tag / size sticker / label</x:v>
      </x:c>
      <x:c r="B10" s="15" t="n">
        <x:v>0</x:v>
      </x:c>
      <x:c r="C10" s="14" t="str">
        <x:v>Excluded from provisional GP</x:v>
      </x:c>
      <x:c r="D10" s="14" t="str">
        <x:v>No verified quote</x:v>
      </x:c>
      <x:c r="E10" s="14" t="str">
        <x:v>KALM</x:v>
      </x:c>
      <x:c r="F10" s="14" t="str">
        <x:v>Packaging plan</x:v>
      </x:c>
      <x:c r="G10" s="14" t="str">
        <x:v>PENDING QUOTE</x:v>
      </x:c>
    </x:row>
    <x:row r="11">
      <x:c r="A11" s="14" t="str">
        <x:v>Collection transport</x:v>
      </x:c>
      <x:c r="B11" s="15" t="n">
        <x:v>0</x:v>
      </x:c>
      <x:c r="C11" s="14" t="str">
        <x:v>Excluded from provisional GP</x:v>
      </x:c>
      <x:c r="D11" s="14" t="str">
        <x:v>Personal route cost not measured</x:v>
      </x:c>
      <x:c r="E11" s="14" t="str">
        <x:v>Munya</x:v>
      </x:c>
      <x:c r="F11" s="14" t="str">
        <x:v>Route/time log</x:v>
      </x:c>
      <x:c r="G11" s="14" t="str">
        <x:v>PENDING QUOTE</x:v>
      </x:c>
    </x:row>
    <x:row r="12">
      <x:c r="A12" s="14" t="str">
        <x:v>Embroidery transport</x:v>
      </x:c>
      <x:c r="B12" s="15" t="n">
        <x:v>0</x:v>
      </x:c>
      <x:c r="C12" s="14" t="str">
        <x:v>Excluded from provisional GP</x:v>
      </x:c>
      <x:c r="D12" s="14" t="str">
        <x:v>Supplier/embroiderer delivery arrangement unverified</x:v>
      </x:c>
      <x:c r="E12" s="14" t="str">
        <x:v>Munya</x:v>
      </x:c>
      <x:c r="F12" s="14" t="str">
        <x:v>Capacity confirmation</x:v>
      </x:c>
      <x:c r="G12" s="14" t="str">
        <x:v>PENDING QUOTE</x:v>
      </x:c>
    </x:row>
    <x:row r="13">
      <x:c r="A13" s="14" t="str">
        <x:v>QC / rejected blank allowance</x:v>
      </x:c>
      <x:c r="B13" s="15" t="n">
        <x:v>0</x:v>
      </x:c>
      <x:c r="C13" s="14" t="str">
        <x:v>Excluded from provisional GP</x:v>
      </x:c>
      <x:c r="D13" s="14" t="str">
        <x:v>Defect rate unknown</x:v>
      </x:c>
      <x:c r="E13" s="14" t="str">
        <x:v>KALM</x:v>
      </x:c>
      <x:c r="F13" s="14" t="str">
        <x:v>Sample QA</x:v>
      </x:c>
      <x:c r="G13" s="14" t="str">
        <x:v>PENDING QUOTE</x:v>
      </x:c>
    </x:row>
    <x:row r="14">
      <x:c r="A14" s="14" t="str">
        <x:v>Embroidery reject / replacement allowance</x:v>
      </x:c>
      <x:c r="B14" s="15" t="n">
        <x:v>0</x:v>
      </x:c>
      <x:c r="C14" s="14" t="str">
        <x:v>Excluded from provisional GP</x:v>
      </x:c>
      <x:c r="D14" s="14" t="str">
        <x:v>Rework policy pending</x:v>
      </x:c>
      <x:c r="E14" s="14" t="str">
        <x:v>Yolanda</x:v>
      </x:c>
      <x:c r="F14" s="14" t="str">
        <x:v>Capacity confirmation</x:v>
      </x:c>
      <x:c r="G14" s="14" t="str">
        <x:v>PENDING QUOTE</x:v>
      </x:c>
    </x:row>
    <x:row r="15">
      <x:c r="A15" s="14" t="str">
        <x:v>ODO return / credit allowance</x:v>
      </x:c>
      <x:c r="B15" s="15" t="n">
        <x:v>0</x:v>
      </x:c>
      <x:c r="C15" s="14" t="str">
        <x:v>Excluded from provisional GP</x:v>
      </x:c>
      <x:c r="D15" s="14" t="str">
        <x:v>Current commercial terms pending</x:v>
      </x:c>
      <x:c r="E15" s="14" t="str">
        <x:v>ODO</x:v>
      </x:c>
      <x:c r="F15" s="14" t="str">
        <x:v>Buyer confirmation</x:v>
      </x:c>
      <x:c r="G15" s="14" t="str">
        <x:v>PENDING QUOTE</x:v>
      </x:c>
    </x:row>
    <x:row r="16">
      <x:c r="A16" s="14" t="str">
        <x:v>Administrative handling</x:v>
      </x:c>
      <x:c r="B16" s="15" t="n">
        <x:v>0</x:v>
      </x:c>
      <x:c r="C16" s="14" t="str">
        <x:v>Excluded from provisional GP</x:v>
      </x:c>
      <x:c r="D16" s="14" t="str">
        <x:v>No measured process cost</x:v>
      </x:c>
      <x:c r="E16" s="14" t="str">
        <x:v>KALM</x:v>
      </x:c>
      <x:c r="F16" s="14" t="str">
        <x:v>Pilot planning</x:v>
      </x:c>
      <x:c r="G16" s="14" t="str">
        <x:v>PENDING QUOTE</x:v>
      </x:c>
    </x:row>
  </x:sheetData>
  <x:mergeCells>
    <x:mergeCell ref="A1:G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9" hidden="0" customWidth="1"/>
    <x:col min="3" max="3" width="13" hidden="0" customWidth="1"/>
    <x:col min="4" max="4" width="14" hidden="0" customWidth="1"/>
    <x:col min="5" max="5" width="18" hidden="0" customWidth="1"/>
    <x:col min="6" max="6" width="17" hidden="0" customWidth="1"/>
    <x:col min="7" max="7" width="12" hidden="0" customWidth="1"/>
    <x:col min="8" max="8" width="12" hidden="0" customWidth="1"/>
    <x:col min="9" max="9" width="13" hidden="0" customWidth="1"/>
    <x:col min="10" max="10" width="20" hidden="0" customWidth="1"/>
    <x:col min="11" max="11" width="14" hidden="0" customWidth="1"/>
    <x:col min="12" max="12" width="14" hidden="0" customWidth="1"/>
    <x:col min="13" max="13" width="20" hidden="0" customWidth="1"/>
    <x:col min="14" max="14" width="16" hidden="0" customWidth="1"/>
    <x:col min="15" max="15" width="32" hidden="0" customWidth="1"/>
  </x:cols>
  <x:sheetData>
    <x:row r="1" ht="28" customHeight="1">
      <x:c r="A1" s="4" t="str">
        <x:v>QUANTITY SCENARIOS — PROVISIONAL CONTRIBUTION BEFORE PENDING COSTS</x:v>
      </x:c>
      <x:c r="B1" s="4" t="str">
        <x:v>QUANTITY SCENARIOS — PROVISIONAL CONTRIBUTION BEFORE PENDING COSTS</x:v>
      </x:c>
      <x:c r="C1" s="4" t="str">
        <x:v>QUANTITY SCENARIOS — PROVISIONAL CONTRIBUTION BEFORE PENDING COSTS</x:v>
      </x:c>
      <x:c r="D1" s="4" t="str">
        <x:v>QUANTITY SCENARIOS — PROVISIONAL CONTRIBUTION BEFORE PENDING COSTS</x:v>
      </x:c>
      <x:c r="E1" s="4" t="str">
        <x:v>QUANTITY SCENARIOS — PROVISIONAL CONTRIBUTION BEFORE PENDING COSTS</x:v>
      </x:c>
      <x:c r="F1" s="4" t="str">
        <x:v>QUANTITY SCENARIOS — PROVISIONAL CONTRIBUTION BEFORE PENDING COSTS</x:v>
      </x:c>
      <x:c r="G1" s="4" t="str">
        <x:v>QUANTITY SCENARIOS — PROVISIONAL CONTRIBUTION BEFORE PENDING COSTS</x:v>
      </x:c>
      <x:c r="H1" s="4" t="str">
        <x:v>QUANTITY SCENARIOS — PROVISIONAL CONTRIBUTION BEFORE PENDING COSTS</x:v>
      </x:c>
      <x:c r="I1" s="4" t="str">
        <x:v>QUANTITY SCENARIOS — PROVISIONAL CONTRIBUTION BEFORE PENDING COSTS</x:v>
      </x:c>
      <x:c r="J1" s="4" t="str">
        <x:v>QUANTITY SCENARIOS — PROVISIONAL CONTRIBUTION BEFORE PENDING COSTS</x:v>
      </x:c>
      <x:c r="K1" s="4" t="str">
        <x:v>QUANTITY SCENARIOS — PROVISIONAL CONTRIBUTION BEFORE PENDING COSTS</x:v>
      </x:c>
      <x:c r="L1" s="4" t="str">
        <x:v>QUANTITY SCENARIOS — PROVISIONAL CONTRIBUTION BEFORE PENDING COSTS</x:v>
      </x:c>
      <x:c r="M1" s="4" t="str">
        <x:v>QUANTITY SCENARIOS — PROVISIONAL CONTRIBUTION BEFORE PENDING COSTS</x:v>
      </x:c>
      <x:c r="N1" s="4" t="str">
        <x:v>QUANTITY SCENARIOS — PROVISIONAL CONTRIBUTION BEFORE PENDING COSTS</x:v>
      </x:c>
      <x:c r="O1" s="4" t="str">
        <x:v>QUANTITY SCENARIOS — PROVISIONAL CONTRIBUTION BEFORE PENDING COSTS</x:v>
      </x:c>
    </x:row>
    <x:row r="3">
      <x:c r="A3" s="11" t="str">
        <x:v>Option</x:v>
      </x:c>
      <x:c r="B3" s="11" t="str">
        <x:v>Qty</x:v>
      </x:c>
      <x:c r="C3" s="11" t="str">
        <x:v>Blank</x:v>
      </x:c>
      <x:c r="D3" s="11" t="str">
        <x:v>Embroidery</x:v>
      </x:c>
      <x:c r="E3" s="11" t="str">
        <x:v>Verified unit base</x:v>
      </x:c>
      <x:c r="F3" s="11" t="str">
        <x:v>Pending cost/unit</x:v>
      </x:c>
      <x:c r="G3" s="11" t="str">
        <x:v>Retail</x:v>
      </x:c>
      <x:c r="H3" s="11" t="str">
        <x:v>ODO price</x:v>
      </x:c>
      <x:c r="I3" s="11" t="str">
        <x:v>ODO margin</x:v>
      </x:c>
      <x:c r="J3" s="11" t="str">
        <x:v>ODO supplier proceeds</x:v>
      </x:c>
      <x:c r="K3" s="11" t="str">
        <x:v>GP / unit</x:v>
      </x:c>
      <x:c r="L3" s="11" t="str">
        <x:v>Gross margin</x:v>
      </x:c>
      <x:c r="M3" s="11" t="str">
        <x:v>Total contribution</x:v>
      </x:c>
      <x:c r="N3" s="11" t="str">
        <x:v>Break-even units</x:v>
      </x:c>
      <x:c r="O3" s="11" t="str">
        <x:v>Model status</x:v>
      </x:c>
    </x:row>
    <x:row r="4">
      <x:c r="A4" s="14" t="str">
        <x:v>300gsm Oversized Cotton</x:v>
      </x:c>
      <x:c r="B4" s="14" t="n">
        <x:v>10</x:v>
      </x:c>
      <x:c r="C4" s="15" t="n">
        <x:f>'Inputs'!D4</x:f>
        <x:v>189</x:v>
      </x:c>
      <x:c r="D4" s="15" t="n">
        <x:f>'Inputs'!E4</x:f>
        <x:v>85</x:v>
      </x:c>
      <x:c r="E4" s="15" t="n">
        <x:f>C4+D4</x:f>
        <x:v>274</x:v>
      </x:c>
      <x:c r="F4" s="15" t="n">
        <x:v>0</x:v>
      </x:c>
      <x:c r="G4" s="15" t="n">
        <x:v>699</x:v>
      </x:c>
      <x:c r="H4" s="15" t="n">
        <x:v>449</x:v>
      </x:c>
      <x:c r="I4" s="16" t="n">
        <x:v>0.25</x:v>
      </x:c>
      <x:c r="J4" s="15" t="n">
        <x:f>H4*(1-I4)</x:f>
        <x:v>336.75</x:v>
      </x:c>
      <x:c r="K4" s="15" t="n">
        <x:f>J4-E4</x:f>
        <x:v>62.75</x:v>
      </x:c>
      <x:c r="L4" s="16" t="n">
        <x:f>IFERROR(K4/J4,0)</x:f>
        <x:v>0.18634001484780996</x:v>
      </x:c>
      <x:c r="M4" s="15" t="n">
        <x:f>K4*B4</x:f>
        <x:v>627.5</x:v>
      </x:c>
      <x:c r="N4" s="14" t="n">
        <x:f>IF(K4&gt;0,1,0)</x:f>
        <x:v>1</x:v>
      </x:c>
      <x:c r="O4" s="14" t="str">
        <x:f>IF(AND(K4&gt;0,F4=0),"PENDING COSTS — NOT FINAL","NOT VIABLE")</x:f>
        <x:v>PENDING COSTS — NOT FINAL</x:v>
      </x:c>
    </x:row>
    <x:row r="5">
      <x:c r="A5" s="14" t="str">
        <x:v>300gsm Oversized Cotton</x:v>
      </x:c>
      <x:c r="B5" s="14" t="n">
        <x:v>25</x:v>
      </x:c>
      <x:c r="C5" s="15" t="n">
        <x:f>'Inputs'!D4</x:f>
        <x:v>189</x:v>
      </x:c>
      <x:c r="D5" s="15" t="n">
        <x:f>'Inputs'!E4</x:f>
        <x:v>85</x:v>
      </x:c>
      <x:c r="E5" s="15" t="n">
        <x:f>C5+D5</x:f>
        <x:v>274</x:v>
      </x:c>
      <x:c r="F5" s="15" t="n">
        <x:v>0</x:v>
      </x:c>
      <x:c r="G5" s="15" t="n">
        <x:v>699</x:v>
      </x:c>
      <x:c r="H5" s="15" t="n">
        <x:v>449</x:v>
      </x:c>
      <x:c r="I5" s="16" t="n">
        <x:v>0.25</x:v>
      </x:c>
      <x:c r="J5" s="15" t="n">
        <x:f>H5*(1-I5)</x:f>
        <x:v>336.75</x:v>
      </x:c>
      <x:c r="K5" s="15" t="n">
        <x:f>J5-E5</x:f>
        <x:v>62.75</x:v>
      </x:c>
      <x:c r="L5" s="16" t="n">
        <x:f>IFERROR(K5/J5,0)</x:f>
        <x:v>0.18634001484780996</x:v>
      </x:c>
      <x:c r="M5" s="15" t="n">
        <x:f>K5*B5</x:f>
        <x:v>1568.75</x:v>
      </x:c>
      <x:c r="N5" s="14" t="n">
        <x:f>IF(K5&gt;0,1,0)</x:f>
        <x:v>1</x:v>
      </x:c>
      <x:c r="O5" s="14" t="str">
        <x:f>IF(AND(K5&gt;0,F5=0),"PENDING COSTS — NOT FINAL","NOT VIABLE")</x:f>
        <x:v>PENDING COSTS — NOT FINAL</x:v>
      </x:c>
    </x:row>
    <x:row r="6">
      <x:c r="A6" s="14" t="str">
        <x:v>300gsm Oversized Cotton</x:v>
      </x:c>
      <x:c r="B6" s="14" t="n">
        <x:v>50</x:v>
      </x:c>
      <x:c r="C6" s="15" t="n">
        <x:f>'Inputs'!D4</x:f>
        <x:v>189</x:v>
      </x:c>
      <x:c r="D6" s="15" t="n">
        <x:f>'Inputs'!E4</x:f>
        <x:v>85</x:v>
      </x:c>
      <x:c r="E6" s="15" t="n">
        <x:f>C6+D6</x:f>
        <x:v>274</x:v>
      </x:c>
      <x:c r="F6" s="15" t="n">
        <x:v>0</x:v>
      </x:c>
      <x:c r="G6" s="15" t="n">
        <x:v>699</x:v>
      </x:c>
      <x:c r="H6" s="15" t="n">
        <x:v>449</x:v>
      </x:c>
      <x:c r="I6" s="16" t="n">
        <x:v>0.25</x:v>
      </x:c>
      <x:c r="J6" s="15" t="n">
        <x:f>H6*(1-I6)</x:f>
        <x:v>336.75</x:v>
      </x:c>
      <x:c r="K6" s="15" t="n">
        <x:f>J6-E6</x:f>
        <x:v>62.75</x:v>
      </x:c>
      <x:c r="L6" s="16" t="n">
        <x:f>IFERROR(K6/J6,0)</x:f>
        <x:v>0.18634001484780996</x:v>
      </x:c>
      <x:c r="M6" s="15" t="n">
        <x:f>K6*B6</x:f>
        <x:v>3137.5</x:v>
      </x:c>
      <x:c r="N6" s="14" t="n">
        <x:f>IF(K6&gt;0,1,0)</x:f>
        <x:v>1</x:v>
      </x:c>
      <x:c r="O6" s="14" t="str">
        <x:f>IF(AND(K6&gt;0,F6=0),"PENDING COSTS — NOT FINAL","NOT VIABLE")</x:f>
        <x:v>PENDING COSTS — NOT FINAL</x:v>
      </x:c>
    </x:row>
    <x:row r="7">
      <x:c r="A7" s="14" t="str">
        <x:v>300gsm Oversized Cotton</x:v>
      </x:c>
      <x:c r="B7" s="14" t="n">
        <x:v>100</x:v>
      </x:c>
      <x:c r="C7" s="15" t="n">
        <x:f>'Inputs'!D4</x:f>
        <x:v>189</x:v>
      </x:c>
      <x:c r="D7" s="15" t="n">
        <x:f>'Inputs'!E4</x:f>
        <x:v>85</x:v>
      </x:c>
      <x:c r="E7" s="15" t="n">
        <x:f>C7+D7</x:f>
        <x:v>274</x:v>
      </x:c>
      <x:c r="F7" s="15" t="n">
        <x:v>0</x:v>
      </x:c>
      <x:c r="G7" s="15" t="n">
        <x:v>699</x:v>
      </x:c>
      <x:c r="H7" s="15" t="n">
        <x:v>449</x:v>
      </x:c>
      <x:c r="I7" s="16" t="n">
        <x:v>0.25</x:v>
      </x:c>
      <x:c r="J7" s="15" t="n">
        <x:f>H7*(1-I7)</x:f>
        <x:v>336.75</x:v>
      </x:c>
      <x:c r="K7" s="15" t="n">
        <x:f>J7-E7</x:f>
        <x:v>62.75</x:v>
      </x:c>
      <x:c r="L7" s="16" t="n">
        <x:f>IFERROR(K7/J7,0)</x:f>
        <x:v>0.18634001484780996</x:v>
      </x:c>
      <x:c r="M7" s="15" t="n">
        <x:f>K7*B7</x:f>
        <x:v>6275</x:v>
      </x:c>
      <x:c r="N7" s="14" t="n">
        <x:f>IF(K7&gt;0,1,0)</x:f>
        <x:v>1</x:v>
      </x:c>
      <x:c r="O7" s="14" t="str">
        <x:f>IF(AND(K7&gt;0,F7=0),"PENDING COSTS — NOT FINAL","NOT VIABLE")</x:f>
        <x:v>PENDING COSTS — NOT FINAL</x:v>
      </x:c>
    </x:row>
    <x:row r="8">
      <x:c r="A8" s="14" t="str">
        <x:v>240gsm Oversized</x:v>
      </x:c>
      <x:c r="B8" s="14" t="n">
        <x:v>10</x:v>
      </x:c>
      <x:c r="C8" s="15" t="n">
        <x:f>'Inputs'!D5</x:f>
        <x:v>125</x:v>
      </x:c>
      <x:c r="D8" s="15" t="n">
        <x:f>'Inputs'!E5</x:f>
        <x:v>85</x:v>
      </x:c>
      <x:c r="E8" s="15" t="n">
        <x:f>C8+D8</x:f>
        <x:v>210</x:v>
      </x:c>
      <x:c r="F8" s="15" t="n">
        <x:v>0</x:v>
      </x:c>
      <x:c r="G8" s="15" t="n">
        <x:v>699</x:v>
      </x:c>
      <x:c r="H8" s="15" t="n">
        <x:v>449</x:v>
      </x:c>
      <x:c r="I8" s="16" t="n">
        <x:v>0.25</x:v>
      </x:c>
      <x:c r="J8" s="15" t="n">
        <x:f>H8*(1-I8)</x:f>
        <x:v>336.75</x:v>
      </x:c>
      <x:c r="K8" s="15" t="n">
        <x:f>J8-E8</x:f>
        <x:v>126.75</x:v>
      </x:c>
      <x:c r="L8" s="16" t="n">
        <x:f>IFERROR(K8/J8,0)</x:f>
        <x:v>0.37639198218262804</x:v>
      </x:c>
      <x:c r="M8" s="15" t="n">
        <x:f>K8*B8</x:f>
        <x:v>1267.5</x:v>
      </x:c>
      <x:c r="N8" s="14" t="n">
        <x:f>IF(K8&gt;0,1,0)</x:f>
        <x:v>1</x:v>
      </x:c>
      <x:c r="O8" s="14" t="str">
        <x:f>IF(AND(K8&gt;0,F8=0),"PENDING COSTS — NOT FINAL","NOT VIABLE")</x:f>
        <x:v>PENDING COSTS — NOT FINAL</x:v>
      </x:c>
    </x:row>
    <x:row r="9">
      <x:c r="A9" s="14" t="str">
        <x:v>240gsm Oversized</x:v>
      </x:c>
      <x:c r="B9" s="14" t="n">
        <x:v>25</x:v>
      </x:c>
      <x:c r="C9" s="15" t="n">
        <x:f>'Inputs'!D5</x:f>
        <x:v>125</x:v>
      </x:c>
      <x:c r="D9" s="15" t="n">
        <x:f>'Inputs'!E5</x:f>
        <x:v>85</x:v>
      </x:c>
      <x:c r="E9" s="15" t="n">
        <x:f>C9+D9</x:f>
        <x:v>210</x:v>
      </x:c>
      <x:c r="F9" s="15" t="n">
        <x:v>0</x:v>
      </x:c>
      <x:c r="G9" s="15" t="n">
        <x:v>699</x:v>
      </x:c>
      <x:c r="H9" s="15" t="n">
        <x:v>449</x:v>
      </x:c>
      <x:c r="I9" s="16" t="n">
        <x:v>0.25</x:v>
      </x:c>
      <x:c r="J9" s="15" t="n">
        <x:f>H9*(1-I9)</x:f>
        <x:v>336.75</x:v>
      </x:c>
      <x:c r="K9" s="15" t="n">
        <x:f>J9-E9</x:f>
        <x:v>126.75</x:v>
      </x:c>
      <x:c r="L9" s="16" t="n">
        <x:f>IFERROR(K9/J9,0)</x:f>
        <x:v>0.37639198218262804</x:v>
      </x:c>
      <x:c r="M9" s="15" t="n">
        <x:f>K9*B9</x:f>
        <x:v>3168.75</x:v>
      </x:c>
      <x:c r="N9" s="14" t="n">
        <x:f>IF(K9&gt;0,1,0)</x:f>
        <x:v>1</x:v>
      </x:c>
      <x:c r="O9" s="14" t="str">
        <x:f>IF(AND(K9&gt;0,F9=0),"PENDING COSTS — NOT FINAL","NOT VIABLE")</x:f>
        <x:v>PENDING COSTS — NOT FINAL</x:v>
      </x:c>
    </x:row>
    <x:row r="10">
      <x:c r="A10" s="14" t="str">
        <x:v>240gsm Oversized</x:v>
      </x:c>
      <x:c r="B10" s="14" t="n">
        <x:v>50</x:v>
      </x:c>
      <x:c r="C10" s="15" t="n">
        <x:f>'Inputs'!D5</x:f>
        <x:v>125</x:v>
      </x:c>
      <x:c r="D10" s="15" t="n">
        <x:f>'Inputs'!E5</x:f>
        <x:v>85</x:v>
      </x:c>
      <x:c r="E10" s="15" t="n">
        <x:f>C10+D10</x:f>
        <x:v>210</x:v>
      </x:c>
      <x:c r="F10" s="15" t="n">
        <x:v>0</x:v>
      </x:c>
      <x:c r="G10" s="15" t="n">
        <x:v>699</x:v>
      </x:c>
      <x:c r="H10" s="15" t="n">
        <x:v>449</x:v>
      </x:c>
      <x:c r="I10" s="16" t="n">
        <x:v>0.25</x:v>
      </x:c>
      <x:c r="J10" s="15" t="n">
        <x:f>H10*(1-I10)</x:f>
        <x:v>336.75</x:v>
      </x:c>
      <x:c r="K10" s="15" t="n">
        <x:f>J10-E10</x:f>
        <x:v>126.75</x:v>
      </x:c>
      <x:c r="L10" s="16" t="n">
        <x:f>IFERROR(K10/J10,0)</x:f>
        <x:v>0.37639198218262804</x:v>
      </x:c>
      <x:c r="M10" s="15" t="n">
        <x:f>K10*B10</x:f>
        <x:v>6337.5</x:v>
      </x:c>
      <x:c r="N10" s="14" t="n">
        <x:f>IF(K10&gt;0,1,0)</x:f>
        <x:v>1</x:v>
      </x:c>
      <x:c r="O10" s="14" t="str">
        <x:f>IF(AND(K10&gt;0,F10=0),"PENDING COSTS — NOT FINAL","NOT VIABLE")</x:f>
        <x:v>PENDING COSTS — NOT FINAL</x:v>
      </x:c>
    </x:row>
    <x:row r="11">
      <x:c r="A11" s="14" t="str">
        <x:v>240gsm Oversized</x:v>
      </x:c>
      <x:c r="B11" s="14" t="n">
        <x:v>100</x:v>
      </x:c>
      <x:c r="C11" s="15" t="n">
        <x:f>'Inputs'!D5</x:f>
        <x:v>125</x:v>
      </x:c>
      <x:c r="D11" s="15" t="n">
        <x:f>'Inputs'!E5</x:f>
        <x:v>85</x:v>
      </x:c>
      <x:c r="E11" s="15" t="n">
        <x:f>C11+D11</x:f>
        <x:v>210</x:v>
      </x:c>
      <x:c r="F11" s="15" t="n">
        <x:v>0</x:v>
      </x:c>
      <x:c r="G11" s="15" t="n">
        <x:v>699</x:v>
      </x:c>
      <x:c r="H11" s="15" t="n">
        <x:v>449</x:v>
      </x:c>
      <x:c r="I11" s="16" t="n">
        <x:v>0.25</x:v>
      </x:c>
      <x:c r="J11" s="15" t="n">
        <x:f>H11*(1-I11)</x:f>
        <x:v>336.75</x:v>
      </x:c>
      <x:c r="K11" s="15" t="n">
        <x:f>J11-E11</x:f>
        <x:v>126.75</x:v>
      </x:c>
      <x:c r="L11" s="16" t="n">
        <x:f>IFERROR(K11/J11,0)</x:f>
        <x:v>0.37639198218262804</x:v>
      </x:c>
      <x:c r="M11" s="15" t="n">
        <x:f>K11*B11</x:f>
        <x:v>12675</x:v>
      </x:c>
      <x:c r="N11" s="14" t="n">
        <x:f>IF(K11&gt;0,1,0)</x:f>
        <x:v>1</x:v>
      </x:c>
      <x:c r="O11" s="14" t="str">
        <x:f>IF(AND(K11&gt;0,F11=0),"PENDING COSTS — NOT FINAL","NOT VIABLE")</x:f>
        <x:v>PENDING COSTS — NOT FINAL</x:v>
      </x:c>
    </x:row>
    <x:row r="12">
      <x:c r="A12" s="14" t="str">
        <x:v>220gsm Cotton</x:v>
      </x:c>
      <x:c r="B12" s="14" t="n">
        <x:v>10</x:v>
      </x:c>
      <x:c r="C12" s="15" t="n">
        <x:f>'Inputs'!D6</x:f>
        <x:v>105</x:v>
      </x:c>
      <x:c r="D12" s="15" t="n">
        <x:f>'Inputs'!E6</x:f>
        <x:v>85</x:v>
      </x:c>
      <x:c r="E12" s="15" t="n">
        <x:f>C12+D12</x:f>
        <x:v>190</x:v>
      </x:c>
      <x:c r="F12" s="15" t="n">
        <x:v>0</x:v>
      </x:c>
      <x:c r="G12" s="15" t="n">
        <x:v>699</x:v>
      </x:c>
      <x:c r="H12" s="15" t="n">
        <x:v>449</x:v>
      </x:c>
      <x:c r="I12" s="16" t="n">
        <x:v>0.25</x:v>
      </x:c>
      <x:c r="J12" s="15" t="n">
        <x:f>H12*(1-I12)</x:f>
        <x:v>336.75</x:v>
      </x:c>
      <x:c r="K12" s="15" t="n">
        <x:f>J12-E12</x:f>
        <x:v>146.75</x:v>
      </x:c>
      <x:c r="L12" s="16" t="n">
        <x:f>IFERROR(K12/J12,0)</x:f>
        <x:v>0.4357832219747587</x:v>
      </x:c>
      <x:c r="M12" s="15" t="n">
        <x:f>K12*B12</x:f>
        <x:v>1467.5</x:v>
      </x:c>
      <x:c r="N12" s="14" t="n">
        <x:f>IF(K12&gt;0,1,0)</x:f>
        <x:v>1</x:v>
      </x:c>
      <x:c r="O12" s="14" t="str">
        <x:f>IF(AND(K12&gt;0,F12=0),"PENDING COSTS — NOT FINAL","NOT VIABLE")</x:f>
        <x:v>PENDING COSTS — NOT FINAL</x:v>
      </x:c>
    </x:row>
    <x:row r="13">
      <x:c r="A13" s="14" t="str">
        <x:v>220gsm Cotton</x:v>
      </x:c>
      <x:c r="B13" s="14" t="n">
        <x:v>25</x:v>
      </x:c>
      <x:c r="C13" s="15" t="n">
        <x:f>'Inputs'!D6</x:f>
        <x:v>105</x:v>
      </x:c>
      <x:c r="D13" s="15" t="n">
        <x:f>'Inputs'!E6</x:f>
        <x:v>85</x:v>
      </x:c>
      <x:c r="E13" s="15" t="n">
        <x:f>C13+D13</x:f>
        <x:v>190</x:v>
      </x:c>
      <x:c r="F13" s="15" t="n">
        <x:v>0</x:v>
      </x:c>
      <x:c r="G13" s="15" t="n">
        <x:v>699</x:v>
      </x:c>
      <x:c r="H13" s="15" t="n">
        <x:v>449</x:v>
      </x:c>
      <x:c r="I13" s="16" t="n">
        <x:v>0.25</x:v>
      </x:c>
      <x:c r="J13" s="15" t="n">
        <x:f>H13*(1-I13)</x:f>
        <x:v>336.75</x:v>
      </x:c>
      <x:c r="K13" s="15" t="n">
        <x:f>J13-E13</x:f>
        <x:v>146.75</x:v>
      </x:c>
      <x:c r="L13" s="16" t="n">
        <x:f>IFERROR(K13/J13,0)</x:f>
        <x:v>0.4357832219747587</x:v>
      </x:c>
      <x:c r="M13" s="15" t="n">
        <x:f>K13*B13</x:f>
        <x:v>3668.75</x:v>
      </x:c>
      <x:c r="N13" s="14" t="n">
        <x:f>IF(K13&gt;0,1,0)</x:f>
        <x:v>1</x:v>
      </x:c>
      <x:c r="O13" s="14" t="str">
        <x:f>IF(AND(K13&gt;0,F13=0),"PENDING COSTS — NOT FINAL","NOT VIABLE")</x:f>
        <x:v>PENDING COSTS — NOT FINAL</x:v>
      </x:c>
    </x:row>
    <x:row r="14">
      <x:c r="A14" s="14" t="str">
        <x:v>220gsm Cotton</x:v>
      </x:c>
      <x:c r="B14" s="14" t="n">
        <x:v>50</x:v>
      </x:c>
      <x:c r="C14" s="15" t="n">
        <x:f>'Inputs'!D6</x:f>
        <x:v>105</x:v>
      </x:c>
      <x:c r="D14" s="15" t="n">
        <x:f>'Inputs'!E6</x:f>
        <x:v>85</x:v>
      </x:c>
      <x:c r="E14" s="15" t="n">
        <x:f>C14+D14</x:f>
        <x:v>190</x:v>
      </x:c>
      <x:c r="F14" s="15" t="n">
        <x:v>0</x:v>
      </x:c>
      <x:c r="G14" s="15" t="n">
        <x:v>699</x:v>
      </x:c>
      <x:c r="H14" s="15" t="n">
        <x:v>449</x:v>
      </x:c>
      <x:c r="I14" s="16" t="n">
        <x:v>0.25</x:v>
      </x:c>
      <x:c r="J14" s="15" t="n">
        <x:f>H14*(1-I14)</x:f>
        <x:v>336.75</x:v>
      </x:c>
      <x:c r="K14" s="15" t="n">
        <x:f>J14-E14</x:f>
        <x:v>146.75</x:v>
      </x:c>
      <x:c r="L14" s="16" t="n">
        <x:f>IFERROR(K14/J14,0)</x:f>
        <x:v>0.4357832219747587</x:v>
      </x:c>
      <x:c r="M14" s="15" t="n">
        <x:f>K14*B14</x:f>
        <x:v>7337.5</x:v>
      </x:c>
      <x:c r="N14" s="14" t="n">
        <x:f>IF(K14&gt;0,1,0)</x:f>
        <x:v>1</x:v>
      </x:c>
      <x:c r="O14" s="14" t="str">
        <x:f>IF(AND(K14&gt;0,F14=0),"PENDING COSTS — NOT FINAL","NOT VIABLE")</x:f>
        <x:v>PENDING COSTS — NOT FINAL</x:v>
      </x:c>
    </x:row>
    <x:row r="15">
      <x:c r="A15" s="14" t="str">
        <x:v>220gsm Cotton</x:v>
      </x:c>
      <x:c r="B15" s="14" t="n">
        <x:v>100</x:v>
      </x:c>
      <x:c r="C15" s="15" t="n">
        <x:f>'Inputs'!D6</x:f>
        <x:v>105</x:v>
      </x:c>
      <x:c r="D15" s="15" t="n">
        <x:f>'Inputs'!E6</x:f>
        <x:v>85</x:v>
      </x:c>
      <x:c r="E15" s="15" t="n">
        <x:f>C15+D15</x:f>
        <x:v>190</x:v>
      </x:c>
      <x:c r="F15" s="15" t="n">
        <x:v>0</x:v>
      </x:c>
      <x:c r="G15" s="15" t="n">
        <x:v>699</x:v>
      </x:c>
      <x:c r="H15" s="15" t="n">
        <x:v>449</x:v>
      </x:c>
      <x:c r="I15" s="16" t="n">
        <x:v>0.25</x:v>
      </x:c>
      <x:c r="J15" s="15" t="n">
        <x:f>H15*(1-I15)</x:f>
        <x:v>336.75</x:v>
      </x:c>
      <x:c r="K15" s="15" t="n">
        <x:f>J15-E15</x:f>
        <x:v>146.75</x:v>
      </x:c>
      <x:c r="L15" s="16" t="n">
        <x:f>IFERROR(K15/J15,0)</x:f>
        <x:v>0.4357832219747587</x:v>
      </x:c>
      <x:c r="M15" s="15" t="n">
        <x:f>K15*B15</x:f>
        <x:v>14675</x:v>
      </x:c>
      <x:c r="N15" s="14" t="n">
        <x:f>IF(K15&gt;0,1,0)</x:f>
        <x:v>1</x:v>
      </x:c>
      <x:c r="O15" s="14" t="str">
        <x:f>IF(AND(K15&gt;0,F15=0),"PENDING COSTS — NOT FINAL","NOT VIABLE")</x:f>
        <x:v>PENDING COSTS — NOT FINAL</x:v>
      </x:c>
    </x:row>
  </x:sheetData>
  <x:mergeCells>
    <x:mergeCell ref="A1:O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9" hidden="0" customWidth="1"/>
    <x:col min="3" max="3" width="14" hidden="0" customWidth="1"/>
    <x:col min="4" max="4" width="17" hidden="0" customWidth="1"/>
    <x:col min="5" max="5" width="13" hidden="0" customWidth="1"/>
    <x:col min="6" max="6" width="13" hidden="0" customWidth="1"/>
    <x:col min="7" max="7" width="14" hidden="0" customWidth="1"/>
    <x:col min="8" max="8" width="18" hidden="0" customWidth="1"/>
    <x:col min="9" max="9" width="15" hidden="0" customWidth="1"/>
    <x:col min="10" max="10" width="14" hidden="0" customWidth="1"/>
    <x:col min="11" max="11" width="14" hidden="0" customWidth="1"/>
    <x:col min="12" max="12" width="30" hidden="0" customWidth="1"/>
  </x:cols>
  <x:sheetData>
    <x:row r="1" ht="28" customHeight="1">
      <x:c r="A1" s="4" t="str">
        <x:v>ODO MARGIN SENSITIVITY — PRICE SCENARIOS BEFORE PENDING COSTS</x:v>
      </x:c>
      <x:c r="B1" s="4" t="str">
        <x:v>ODO MARGIN SENSITIVITY — PRICE SCENARIOS BEFORE PENDING COSTS</x:v>
      </x:c>
      <x:c r="C1" s="4" t="str">
        <x:v>ODO MARGIN SENSITIVITY — PRICE SCENARIOS BEFORE PENDING COSTS</x:v>
      </x:c>
      <x:c r="D1" s="4" t="str">
        <x:v>ODO MARGIN SENSITIVITY — PRICE SCENARIOS BEFORE PENDING COSTS</x:v>
      </x:c>
      <x:c r="E1" s="4" t="str">
        <x:v>ODO MARGIN SENSITIVITY — PRICE SCENARIOS BEFORE PENDING COSTS</x:v>
      </x:c>
      <x:c r="F1" s="4" t="str">
        <x:v>ODO MARGIN SENSITIVITY — PRICE SCENARIOS BEFORE PENDING COSTS</x:v>
      </x:c>
      <x:c r="G1" s="4" t="str">
        <x:v>ODO MARGIN SENSITIVITY — PRICE SCENARIOS BEFORE PENDING COSTS</x:v>
      </x:c>
      <x:c r="H1" s="4" t="str">
        <x:v>ODO MARGIN SENSITIVITY — PRICE SCENARIOS BEFORE PENDING COSTS</x:v>
      </x:c>
      <x:c r="I1" s="4" t="str">
        <x:v>ODO MARGIN SENSITIVITY — PRICE SCENARIOS BEFORE PENDING COSTS</x:v>
      </x:c>
      <x:c r="J1" s="4" t="str">
        <x:v>ODO MARGIN SENSITIVITY — PRICE SCENARIOS BEFORE PENDING COSTS</x:v>
      </x:c>
      <x:c r="K1" s="4" t="str">
        <x:v>ODO MARGIN SENSITIVITY — PRICE SCENARIOS BEFORE PENDING COSTS</x:v>
      </x:c>
      <x:c r="L1" s="4" t="str">
        <x:v>ODO MARGIN SENSITIVITY — PRICE SCENARIOS BEFORE PENDING COSTS</x:v>
      </x:c>
    </x:row>
    <x:row r="3">
      <x:c r="A3" s="11" t="str">
        <x:v>Option</x:v>
      </x:c>
      <x:c r="B3" s="11" t="str">
        <x:v>Qty</x:v>
      </x:c>
      <x:c r="C3" s="11" t="str">
        <x:v>Retail price</x:v>
      </x:c>
      <x:c r="D3" s="11" t="str">
        <x:v>ODO customer price</x:v>
      </x:c>
      <x:c r="E3" s="11" t="str">
        <x:v>ODO margin</x:v>
      </x:c>
      <x:c r="F3" s="11" t="str">
        <x:v>Blank</x:v>
      </x:c>
      <x:c r="G3" s="11" t="str">
        <x:v>Embroidery</x:v>
      </x:c>
      <x:c r="H3" s="11" t="str">
        <x:v>Supplier proceeds</x:v>
      </x:c>
      <x:c r="I3" s="11" t="str">
        <x:v>Verified base</x:v>
      </x:c>
      <x:c r="J3" s="11" t="str">
        <x:v>GP/unit</x:v>
      </x:c>
      <x:c r="K3" s="11" t="str">
        <x:v>Gross margin</x:v>
      </x:c>
      <x:c r="L3" s="11" t="str">
        <x:v>Decision</x:v>
      </x:c>
    </x:row>
    <x:row r="4">
      <x:c r="A4" s="14" t="str">
        <x:v>300gsm Oversized Cotton</x:v>
      </x:c>
      <x:c r="B4" s="14" t="n">
        <x:v>10</x:v>
      </x:c>
      <x:c r="C4" s="15" t="n">
        <x:v>599</x:v>
      </x:c>
      <x:c r="D4" s="15" t="n">
        <x:v>349</x:v>
      </x:c>
      <x:c r="E4" s="16" t="n">
        <x:v>0.2</x:v>
      </x:c>
      <x:c r="F4" s="15" t="n">
        <x:f>INDEX('Inputs'!$D$4:$D$6,MATCH(A4,'Inputs'!$A$4:$A$6,0))</x:f>
        <x:v>189</x:v>
      </x:c>
      <x:c r="G4" s="15" t="n">
        <x:f>INDEX('Inputs'!$E$4:$E$6,MATCH(A4,'Inputs'!$A$4:$A$6,0))</x:f>
        <x:v>85</x:v>
      </x:c>
      <x:c r="H4" s="15" t="n">
        <x:f>D4*(1-E4)</x:f>
        <x:v>279.2</x:v>
      </x:c>
      <x:c r="I4" s="15" t="n">
        <x:f>F4+G4</x:f>
        <x:v>274</x:v>
      </x:c>
      <x:c r="J4" s="15" t="n">
        <x:f>H4-I4</x:f>
        <x:v>5.199999999999989</x:v>
      </x:c>
      <x:c r="K4" s="16" t="n">
        <x:f>IFERROR(J4/H4,0)</x:f>
        <x:v>0.018624641833810848</x:v>
      </x:c>
      <x:c r="L4" s="14" t="str">
        <x:f>IF(J4&gt;0,"Provisional positive contribution","Not viable")</x:f>
        <x:v>Provisional positive contribution</x:v>
      </x:c>
    </x:row>
    <x:row r="5">
      <x:c r="A5" s="14" t="str">
        <x:v>300gsm Oversized Cotton</x:v>
      </x:c>
      <x:c r="B5" s="14" t="n">
        <x:v>10</x:v>
      </x:c>
      <x:c r="C5" s="15" t="n">
        <x:v>599</x:v>
      </x:c>
      <x:c r="D5" s="15" t="n">
        <x:v>349</x:v>
      </x:c>
      <x:c r="E5" s="16" t="n">
        <x:v>0.25</x:v>
      </x:c>
      <x:c r="F5" s="15" t="n">
        <x:f>INDEX('Inputs'!$D$4:$D$6,MATCH(A5,'Inputs'!$A$4:$A$6,0))</x:f>
        <x:v>189</x:v>
      </x:c>
      <x:c r="G5" s="15" t="n">
        <x:f>INDEX('Inputs'!$E$4:$E$6,MATCH(A5,'Inputs'!$A$4:$A$6,0))</x:f>
        <x:v>85</x:v>
      </x:c>
      <x:c r="H5" s="15" t="n">
        <x:f>D5*(1-E5)</x:f>
        <x:v>261.75</x:v>
      </x:c>
      <x:c r="I5" s="15" t="n">
        <x:f>F5+G5</x:f>
        <x:v>274</x:v>
      </x:c>
      <x:c r="J5" s="15" t="n">
        <x:f>H5-I5</x:f>
        <x:v>-12.25</x:v>
      </x:c>
      <x:c r="K5" s="16" t="n">
        <x:f>IFERROR(J5/H5,0)</x:f>
        <x:v>-0.04680038204393505</x:v>
      </x:c>
      <x:c r="L5" s="14" t="str">
        <x:f>IF(J5&gt;0,"Provisional positive contribution","Not viable")</x:f>
        <x:v>Not viable</x:v>
      </x:c>
    </x:row>
    <x:row r="6">
      <x:c r="A6" s="14" t="str">
        <x:v>300gsm Oversized Cotton</x:v>
      </x:c>
      <x:c r="B6" s="14" t="n">
        <x:v>10</x:v>
      </x:c>
      <x:c r="C6" s="15" t="n">
        <x:v>599</x:v>
      </x:c>
      <x:c r="D6" s="15" t="n">
        <x:v>349</x:v>
      </x:c>
      <x:c r="E6" s="16" t="n">
        <x:v>0.3</x:v>
      </x:c>
      <x:c r="F6" s="15" t="n">
        <x:f>INDEX('Inputs'!$D$4:$D$6,MATCH(A6,'Inputs'!$A$4:$A$6,0))</x:f>
        <x:v>189</x:v>
      </x:c>
      <x:c r="G6" s="15" t="n">
        <x:f>INDEX('Inputs'!$E$4:$E$6,MATCH(A6,'Inputs'!$A$4:$A$6,0))</x:f>
        <x:v>85</x:v>
      </x:c>
      <x:c r="H6" s="15" t="n">
        <x:f>D6*(1-E6)</x:f>
        <x:v>244.29999999999998</x:v>
      </x:c>
      <x:c r="I6" s="15" t="n">
        <x:f>F6+G6</x:f>
        <x:v>274</x:v>
      </x:c>
      <x:c r="J6" s="15" t="n">
        <x:f>H6-I6</x:f>
        <x:v>-29.700000000000017</x:v>
      </x:c>
      <x:c r="K6" s="16" t="n">
        <x:f>IFERROR(J6/H6,0)</x:f>
        <x:v>-0.1215718379042162</x:v>
      </x:c>
      <x:c r="L6" s="14" t="str">
        <x:f>IF(J6&gt;0,"Provisional positive contribution","Not viable")</x:f>
        <x:v>Not viable</x:v>
      </x:c>
    </x:row>
    <x:row r="7">
      <x:c r="A7" s="14" t="str">
        <x:v>300gsm Oversized Cotton</x:v>
      </x:c>
      <x:c r="B7" s="14" t="n">
        <x:v>10</x:v>
      </x:c>
      <x:c r="C7" s="15" t="n">
        <x:v>599</x:v>
      </x:c>
      <x:c r="D7" s="15" t="n">
        <x:v>349</x:v>
      </x:c>
      <x:c r="E7" s="16" t="n">
        <x:v>0.35</x:v>
      </x:c>
      <x:c r="F7" s="15" t="n">
        <x:f>INDEX('Inputs'!$D$4:$D$6,MATCH(A7,'Inputs'!$A$4:$A$6,0))</x:f>
        <x:v>189</x:v>
      </x:c>
      <x:c r="G7" s="15" t="n">
        <x:f>INDEX('Inputs'!$E$4:$E$6,MATCH(A7,'Inputs'!$A$4:$A$6,0))</x:f>
        <x:v>85</x:v>
      </x:c>
      <x:c r="H7" s="15" t="n">
        <x:f>D7*(1-E7)</x:f>
        <x:v>226.85</x:v>
      </x:c>
      <x:c r="I7" s="15" t="n">
        <x:f>F7+G7</x:f>
        <x:v>274</x:v>
      </x:c>
      <x:c r="J7" s="15" t="n">
        <x:f>H7-I7</x:f>
        <x:v>-47.150000000000006</x:v>
      </x:c>
      <x:c r="K7" s="16" t="n">
        <x:f>IFERROR(J7/H7,0)</x:f>
        <x:v>-0.20784659466607894</x:v>
      </x:c>
      <x:c r="L7" s="14" t="str">
        <x:f>IF(J7&gt;0,"Provisional positive contribution","Not viable")</x:f>
        <x:v>Not viable</x:v>
      </x:c>
    </x:row>
    <x:row r="8">
      <x:c r="A8" s="14" t="str">
        <x:v>300gsm Oversized Cotton</x:v>
      </x:c>
      <x:c r="B8" s="14" t="n">
        <x:v>10</x:v>
      </x:c>
      <x:c r="C8" s="15" t="n">
        <x:v>599</x:v>
      </x:c>
      <x:c r="D8" s="15" t="n">
        <x:v>399</x:v>
      </x:c>
      <x:c r="E8" s="16" t="n">
        <x:v>0.2</x:v>
      </x:c>
      <x:c r="F8" s="15" t="n">
        <x:f>INDEX('Inputs'!$D$4:$D$6,MATCH(A8,'Inputs'!$A$4:$A$6,0))</x:f>
        <x:v>189</x:v>
      </x:c>
      <x:c r="G8" s="15" t="n">
        <x:f>INDEX('Inputs'!$E$4:$E$6,MATCH(A8,'Inputs'!$A$4:$A$6,0))</x:f>
        <x:v>85</x:v>
      </x:c>
      <x:c r="H8" s="15" t="n">
        <x:f>D8*(1-E8)</x:f>
        <x:v>319.20000000000005</x:v>
      </x:c>
      <x:c r="I8" s="15" t="n">
        <x:f>F8+G8</x:f>
        <x:v>274</x:v>
      </x:c>
      <x:c r="J8" s="15" t="n">
        <x:f>H8-I8</x:f>
        <x:v>45.200000000000045</x:v>
      </x:c>
      <x:c r="K8" s="16" t="n">
        <x:f>IFERROR(J8/H8,0)</x:f>
        <x:v>0.1416040100250628</x:v>
      </x:c>
      <x:c r="L8" s="14" t="str">
        <x:f>IF(J8&gt;0,"Provisional positive contribution","Not viable")</x:f>
        <x:v>Provisional positive contribution</x:v>
      </x:c>
    </x:row>
    <x:row r="9">
      <x:c r="A9" s="14" t="str">
        <x:v>300gsm Oversized Cotton</x:v>
      </x:c>
      <x:c r="B9" s="14" t="n">
        <x:v>10</x:v>
      </x:c>
      <x:c r="C9" s="15" t="n">
        <x:v>599</x:v>
      </x:c>
      <x:c r="D9" s="15" t="n">
        <x:v>399</x:v>
      </x:c>
      <x:c r="E9" s="16" t="n">
        <x:v>0.25</x:v>
      </x:c>
      <x:c r="F9" s="15" t="n">
        <x:f>INDEX('Inputs'!$D$4:$D$6,MATCH(A9,'Inputs'!$A$4:$A$6,0))</x:f>
        <x:v>189</x:v>
      </x:c>
      <x:c r="G9" s="15" t="n">
        <x:f>INDEX('Inputs'!$E$4:$E$6,MATCH(A9,'Inputs'!$A$4:$A$6,0))</x:f>
        <x:v>85</x:v>
      </x:c>
      <x:c r="H9" s="15" t="n">
        <x:f>D9*(1-E9)</x:f>
        <x:v>299.25</x:v>
      </x:c>
      <x:c r="I9" s="15" t="n">
        <x:f>F9+G9</x:f>
        <x:v>274</x:v>
      </x:c>
      <x:c r="J9" s="15" t="n">
        <x:f>H9-I9</x:f>
        <x:v>25.25</x:v>
      </x:c>
      <x:c r="K9" s="16" t="n">
        <x:f>IFERROR(J9/H9,0)</x:f>
        <x:v>0.08437761069340016</x:v>
      </x:c>
      <x:c r="L9" s="14" t="str">
        <x:f>IF(J9&gt;0,"Provisional positive contribution","Not viable")</x:f>
        <x:v>Provisional positive contribution</x:v>
      </x:c>
    </x:row>
    <x:row r="10">
      <x:c r="A10" s="14" t="str">
        <x:v>300gsm Oversized Cotton</x:v>
      </x:c>
      <x:c r="B10" s="14" t="n">
        <x:v>10</x:v>
      </x:c>
      <x:c r="C10" s="15" t="n">
        <x:v>599</x:v>
      </x:c>
      <x:c r="D10" s="15" t="n">
        <x:v>399</x:v>
      </x:c>
      <x:c r="E10" s="16" t="n">
        <x:v>0.3</x:v>
      </x:c>
      <x:c r="F10" s="15" t="n">
        <x:f>INDEX('Inputs'!$D$4:$D$6,MATCH(A10,'Inputs'!$A$4:$A$6,0))</x:f>
        <x:v>189</x:v>
      </x:c>
      <x:c r="G10" s="15" t="n">
        <x:f>INDEX('Inputs'!$E$4:$E$6,MATCH(A10,'Inputs'!$A$4:$A$6,0))</x:f>
        <x:v>85</x:v>
      </x:c>
      <x:c r="H10" s="15" t="n">
        <x:f>D10*(1-E10)</x:f>
        <x:v>279.29999999999995</x:v>
      </x:c>
      <x:c r="I10" s="15" t="n">
        <x:f>F10+G10</x:f>
        <x:v>274</x:v>
      </x:c>
      <x:c r="J10" s="15" t="n">
        <x:f>H10-I10</x:f>
        <x:v>5.2999999999999545</x:v>
      </x:c>
      <x:c r="K10" s="16" t="n">
        <x:f>IFERROR(J10/H10,0)</x:f>
        <x:v>0.018976011457214306</x:v>
      </x:c>
      <x:c r="L10" s="14" t="str">
        <x:f>IF(J10&gt;0,"Provisional positive contribution","Not viable")</x:f>
        <x:v>Provisional positive contribution</x:v>
      </x:c>
    </x:row>
    <x:row r="11">
      <x:c r="A11" s="14" t="str">
        <x:v>300gsm Oversized Cotton</x:v>
      </x:c>
      <x:c r="B11" s="14" t="n">
        <x:v>10</x:v>
      </x:c>
      <x:c r="C11" s="15" t="n">
        <x:v>599</x:v>
      </x:c>
      <x:c r="D11" s="15" t="n">
        <x:v>399</x:v>
      </x:c>
      <x:c r="E11" s="16" t="n">
        <x:v>0.35</x:v>
      </x:c>
      <x:c r="F11" s="15" t="n">
        <x:f>INDEX('Inputs'!$D$4:$D$6,MATCH(A11,'Inputs'!$A$4:$A$6,0))</x:f>
        <x:v>189</x:v>
      </x:c>
      <x:c r="G11" s="15" t="n">
        <x:f>INDEX('Inputs'!$E$4:$E$6,MATCH(A11,'Inputs'!$A$4:$A$6,0))</x:f>
        <x:v>85</x:v>
      </x:c>
      <x:c r="H11" s="15" t="n">
        <x:f>D11*(1-E11)</x:f>
        <x:v>259.35</x:v>
      </x:c>
      <x:c r="I11" s="15" t="n">
        <x:f>F11+G11</x:f>
        <x:v>274</x:v>
      </x:c>
      <x:c r="J11" s="15" t="n">
        <x:f>H11-I11</x:f>
        <x:v>-14.649999999999977</x:v>
      </x:c>
      <x:c r="K11" s="16" t="n">
        <x:f>IFERROR(J11/H11,0)</x:f>
        <x:v>-0.05648737227684587</x:v>
      </x:c>
      <x:c r="L11" s="14" t="str">
        <x:f>IF(J11&gt;0,"Provisional positive contribution","Not viable")</x:f>
        <x:v>Not viable</x:v>
      </x:c>
    </x:row>
    <x:row r="12">
      <x:c r="A12" s="14" t="str">
        <x:v>300gsm Oversized Cotton</x:v>
      </x:c>
      <x:c r="B12" s="14" t="n">
        <x:v>10</x:v>
      </x:c>
      <x:c r="C12" s="15" t="n">
        <x:v>599</x:v>
      </x:c>
      <x:c r="D12" s="15" t="n">
        <x:v>449</x:v>
      </x:c>
      <x:c r="E12" s="16" t="n">
        <x:v>0.2</x:v>
      </x:c>
      <x:c r="F12" s="15" t="n">
        <x:f>INDEX('Inputs'!$D$4:$D$6,MATCH(A12,'Inputs'!$A$4:$A$6,0))</x:f>
        <x:v>189</x:v>
      </x:c>
      <x:c r="G12" s="15" t="n">
        <x:f>INDEX('Inputs'!$E$4:$E$6,MATCH(A12,'Inputs'!$A$4:$A$6,0))</x:f>
        <x:v>85</x:v>
      </x:c>
      <x:c r="H12" s="15" t="n">
        <x:f>D12*(1-E12)</x:f>
        <x:v>359.20000000000005</x:v>
      </x:c>
      <x:c r="I12" s="15" t="n">
        <x:f>F12+G12</x:f>
        <x:v>274</x:v>
      </x:c>
      <x:c r="J12" s="15" t="n">
        <x:f>H12-I12</x:f>
        <x:v>85.20000000000005</x:v>
      </x:c>
      <x:c r="K12" s="16" t="n">
        <x:f>IFERROR(J12/H12,0)</x:f>
        <x:v>0.23719376391982191</x:v>
      </x:c>
      <x:c r="L12" s="14" t="str">
        <x:f>IF(J12&gt;0,"Provisional positive contribution","Not viable")</x:f>
        <x:v>Provisional positive contribution</x:v>
      </x:c>
    </x:row>
    <x:row r="13">
      <x:c r="A13" s="14" t="str">
        <x:v>300gsm Oversized Cotton</x:v>
      </x:c>
      <x:c r="B13" s="14" t="n">
        <x:v>10</x:v>
      </x:c>
      <x:c r="C13" s="15" t="n">
        <x:v>599</x:v>
      </x:c>
      <x:c r="D13" s="15" t="n">
        <x:v>449</x:v>
      </x:c>
      <x:c r="E13" s="16" t="n">
        <x:v>0.25</x:v>
      </x:c>
      <x:c r="F13" s="15" t="n">
        <x:f>INDEX('Inputs'!$D$4:$D$6,MATCH(A13,'Inputs'!$A$4:$A$6,0))</x:f>
        <x:v>189</x:v>
      </x:c>
      <x:c r="G13" s="15" t="n">
        <x:f>INDEX('Inputs'!$E$4:$E$6,MATCH(A13,'Inputs'!$A$4:$A$6,0))</x:f>
        <x:v>85</x:v>
      </x:c>
      <x:c r="H13" s="15" t="n">
        <x:f>D13*(1-E13)</x:f>
        <x:v>336.75</x:v>
      </x:c>
      <x:c r="I13" s="15" t="n">
        <x:f>F13+G13</x:f>
        <x:v>274</x:v>
      </x:c>
      <x:c r="J13" s="15" t="n">
        <x:f>H13-I13</x:f>
        <x:v>62.75</x:v>
      </x:c>
      <x:c r="K13" s="16" t="n">
        <x:f>IFERROR(J13/H13,0)</x:f>
        <x:v>0.18634001484780996</x:v>
      </x:c>
      <x:c r="L13" s="14" t="str">
        <x:f>IF(J13&gt;0,"Provisional positive contribution","Not viable")</x:f>
        <x:v>Provisional positive contribution</x:v>
      </x:c>
    </x:row>
    <x:row r="14">
      <x:c r="A14" s="14" t="str">
        <x:v>300gsm Oversized Cotton</x:v>
      </x:c>
      <x:c r="B14" s="14" t="n">
        <x:v>10</x:v>
      </x:c>
      <x:c r="C14" s="15" t="n">
        <x:v>599</x:v>
      </x:c>
      <x:c r="D14" s="15" t="n">
        <x:v>449</x:v>
      </x:c>
      <x:c r="E14" s="16" t="n">
        <x:v>0.3</x:v>
      </x:c>
      <x:c r="F14" s="15" t="n">
        <x:f>INDEX('Inputs'!$D$4:$D$6,MATCH(A14,'Inputs'!$A$4:$A$6,0))</x:f>
        <x:v>189</x:v>
      </x:c>
      <x:c r="G14" s="15" t="n">
        <x:f>INDEX('Inputs'!$E$4:$E$6,MATCH(A14,'Inputs'!$A$4:$A$6,0))</x:f>
        <x:v>85</x:v>
      </x:c>
      <x:c r="H14" s="15" t="n">
        <x:f>D14*(1-E14)</x:f>
        <x:v>314.29999999999995</x:v>
      </x:c>
      <x:c r="I14" s="15" t="n">
        <x:f>F14+G14</x:f>
        <x:v>274</x:v>
      </x:c>
      <x:c r="J14" s="15" t="n">
        <x:f>H14-I14</x:f>
        <x:v>40.299999999999955</x:v>
      </x:c>
      <x:c r="K14" s="16" t="n">
        <x:f>IFERROR(J14/H14,0)</x:f>
        <x:v>0.12822144447979625</x:v>
      </x:c>
      <x:c r="L14" s="14" t="str">
        <x:f>IF(J14&gt;0,"Provisional positive contribution","Not viable")</x:f>
        <x:v>Provisional positive contribution</x:v>
      </x:c>
    </x:row>
    <x:row r="15">
      <x:c r="A15" s="14" t="str">
        <x:v>300gsm Oversized Cotton</x:v>
      </x:c>
      <x:c r="B15" s="14" t="n">
        <x:v>10</x:v>
      </x:c>
      <x:c r="C15" s="15" t="n">
        <x:v>599</x:v>
      </x:c>
      <x:c r="D15" s="15" t="n">
        <x:v>449</x:v>
      </x:c>
      <x:c r="E15" s="16" t="n">
        <x:v>0.35</x:v>
      </x:c>
      <x:c r="F15" s="15" t="n">
        <x:f>INDEX('Inputs'!$D$4:$D$6,MATCH(A15,'Inputs'!$A$4:$A$6,0))</x:f>
        <x:v>189</x:v>
      </x:c>
      <x:c r="G15" s="15" t="n">
        <x:f>INDEX('Inputs'!$E$4:$E$6,MATCH(A15,'Inputs'!$A$4:$A$6,0))</x:f>
        <x:v>85</x:v>
      </x:c>
      <x:c r="H15" s="15" t="n">
        <x:f>D15*(1-E15)</x:f>
        <x:v>291.85</x:v>
      </x:c>
      <x:c r="I15" s="15" t="n">
        <x:f>F15+G15</x:f>
        <x:v>274</x:v>
      </x:c>
      <x:c r="J15" s="15" t="n">
        <x:f>H15-I15</x:f>
        <x:v>17.850000000000023</x:v>
      </x:c>
      <x:c r="K15" s="16" t="n">
        <x:f>IFERROR(J15/H15,0)</x:f>
        <x:v>0.06116155559362694</x:v>
      </x:c>
      <x:c r="L15" s="14" t="str">
        <x:f>IF(J15&gt;0,"Provisional positive contribution","Not viable")</x:f>
        <x:v>Provisional positive contribution</x:v>
      </x:c>
    </x:row>
    <x:row r="16">
      <x:c r="A16" s="14" t="str">
        <x:v>300gsm Oversized Cotton</x:v>
      </x:c>
      <x:c r="B16" s="14" t="n">
        <x:v>10</x:v>
      </x:c>
      <x:c r="C16" s="15" t="n">
        <x:v>599</x:v>
      </x:c>
      <x:c r="D16" s="15" t="n">
        <x:v>499</x:v>
      </x:c>
      <x:c r="E16" s="16" t="n">
        <x:v>0.2</x:v>
      </x:c>
      <x:c r="F16" s="15" t="n">
        <x:f>INDEX('Inputs'!$D$4:$D$6,MATCH(A16,'Inputs'!$A$4:$A$6,0))</x:f>
        <x:v>189</x:v>
      </x:c>
      <x:c r="G16" s="15" t="n">
        <x:f>INDEX('Inputs'!$E$4:$E$6,MATCH(A16,'Inputs'!$A$4:$A$6,0))</x:f>
        <x:v>85</x:v>
      </x:c>
      <x:c r="H16" s="15" t="n">
        <x:f>D16*(1-E16)</x:f>
        <x:v>399.20000000000005</x:v>
      </x:c>
      <x:c r="I16" s="15" t="n">
        <x:f>F16+G16</x:f>
        <x:v>274</x:v>
      </x:c>
      <x:c r="J16" s="15" t="n">
        <x:f>H16-I16</x:f>
        <x:v>125.20000000000005</x:v>
      </x:c>
      <x:c r="K16" s="16" t="n">
        <x:f>IFERROR(J16/H16,0)</x:f>
        <x:v>0.3136272545090181</x:v>
      </x:c>
      <x:c r="L16" s="14" t="str">
        <x:f>IF(J16&gt;0,"Provisional positive contribution","Not viable")</x:f>
        <x:v>Provisional positive contribution</x:v>
      </x:c>
    </x:row>
    <x:row r="17">
      <x:c r="A17" s="14" t="str">
        <x:v>300gsm Oversized Cotton</x:v>
      </x:c>
      <x:c r="B17" s="14" t="n">
        <x:v>10</x:v>
      </x:c>
      <x:c r="C17" s="15" t="n">
        <x:v>599</x:v>
      </x:c>
      <x:c r="D17" s="15" t="n">
        <x:v>499</x:v>
      </x:c>
      <x:c r="E17" s="16" t="n">
        <x:v>0.25</x:v>
      </x:c>
      <x:c r="F17" s="15" t="n">
        <x:f>INDEX('Inputs'!$D$4:$D$6,MATCH(A17,'Inputs'!$A$4:$A$6,0))</x:f>
        <x:v>189</x:v>
      </x:c>
      <x:c r="G17" s="15" t="n">
        <x:f>INDEX('Inputs'!$E$4:$E$6,MATCH(A17,'Inputs'!$A$4:$A$6,0))</x:f>
        <x:v>85</x:v>
      </x:c>
      <x:c r="H17" s="15" t="n">
        <x:f>D17*(1-E17)</x:f>
        <x:v>374.25</x:v>
      </x:c>
      <x:c r="I17" s="15" t="n">
        <x:f>F17+G17</x:f>
        <x:v>274</x:v>
      </x:c>
      <x:c r="J17" s="15" t="n">
        <x:f>H17-I17</x:f>
        <x:v>100.25</x:v>
      </x:c>
      <x:c r="K17" s="16" t="n">
        <x:f>IFERROR(J17/H17,0)</x:f>
        <x:v>0.2678690714762859</x:v>
      </x:c>
      <x:c r="L17" s="14" t="str">
        <x:f>IF(J17&gt;0,"Provisional positive contribution","Not viable")</x:f>
        <x:v>Provisional positive contribution</x:v>
      </x:c>
    </x:row>
    <x:row r="18">
      <x:c r="A18" s="14" t="str">
        <x:v>300gsm Oversized Cotton</x:v>
      </x:c>
      <x:c r="B18" s="14" t="n">
        <x:v>10</x:v>
      </x:c>
      <x:c r="C18" s="15" t="n">
        <x:v>599</x:v>
      </x:c>
      <x:c r="D18" s="15" t="n">
        <x:v>499</x:v>
      </x:c>
      <x:c r="E18" s="16" t="n">
        <x:v>0.3</x:v>
      </x:c>
      <x:c r="F18" s="15" t="n">
        <x:f>INDEX('Inputs'!$D$4:$D$6,MATCH(A18,'Inputs'!$A$4:$A$6,0))</x:f>
        <x:v>189</x:v>
      </x:c>
      <x:c r="G18" s="15" t="n">
        <x:f>INDEX('Inputs'!$E$4:$E$6,MATCH(A18,'Inputs'!$A$4:$A$6,0))</x:f>
        <x:v>85</x:v>
      </x:c>
      <x:c r="H18" s="15" t="n">
        <x:f>D18*(1-E18)</x:f>
        <x:v>349.29999999999995</x:v>
      </x:c>
      <x:c r="I18" s="15" t="n">
        <x:f>F18+G18</x:f>
        <x:v>274</x:v>
      </x:c>
      <x:c r="J18" s="15" t="n">
        <x:f>H18-I18</x:f>
        <x:v>75.29999999999995</x:v>
      </x:c>
      <x:c r="K18" s="16" t="n">
        <x:f>IFERROR(J18/H18,0)</x:f>
        <x:v>0.21557400515316336</x:v>
      </x:c>
      <x:c r="L18" s="14" t="str">
        <x:f>IF(J18&gt;0,"Provisional positive contribution","Not viable")</x:f>
        <x:v>Provisional positive contribution</x:v>
      </x:c>
    </x:row>
    <x:row r="19">
      <x:c r="A19" s="14" t="str">
        <x:v>300gsm Oversized Cotton</x:v>
      </x:c>
      <x:c r="B19" s="14" t="n">
        <x:v>10</x:v>
      </x:c>
      <x:c r="C19" s="15" t="n">
        <x:v>599</x:v>
      </x:c>
      <x:c r="D19" s="15" t="n">
        <x:v>499</x:v>
      </x:c>
      <x:c r="E19" s="16" t="n">
        <x:v>0.35</x:v>
      </x:c>
      <x:c r="F19" s="15" t="n">
        <x:f>INDEX('Inputs'!$D$4:$D$6,MATCH(A19,'Inputs'!$A$4:$A$6,0))</x:f>
        <x:v>189</x:v>
      </x:c>
      <x:c r="G19" s="15" t="n">
        <x:f>INDEX('Inputs'!$E$4:$E$6,MATCH(A19,'Inputs'!$A$4:$A$6,0))</x:f>
        <x:v>85</x:v>
      </x:c>
      <x:c r="H19" s="15" t="n">
        <x:f>D19*(1-E19)</x:f>
        <x:v>324.35</x:v>
      </x:c>
      <x:c r="I19" s="15" t="n">
        <x:f>F19+G19</x:f>
        <x:v>274</x:v>
      </x:c>
      <x:c r="J19" s="15" t="n">
        <x:f>H19-I19</x:f>
        <x:v>50.35000000000002</x:v>
      </x:c>
      <x:c r="K19" s="16" t="n">
        <x:f>IFERROR(J19/H19,0)</x:f>
        <x:v>0.15523354401109918</x:v>
      </x:c>
      <x:c r="L19" s="14" t="str">
        <x:f>IF(J19&gt;0,"Provisional positive contribution","Not viable")</x:f>
        <x:v>Provisional positive contribution</x:v>
      </x:c>
    </x:row>
    <x:row r="20">
      <x:c r="A20" s="14" t="str">
        <x:v>300gsm Oversized Cotton</x:v>
      </x:c>
      <x:c r="B20" s="14" t="n">
        <x:v>10</x:v>
      </x:c>
      <x:c r="C20" s="15" t="n">
        <x:v>649</x:v>
      </x:c>
      <x:c r="D20" s="15" t="n">
        <x:v>349</x:v>
      </x:c>
      <x:c r="E20" s="16" t="n">
        <x:v>0.2</x:v>
      </x:c>
      <x:c r="F20" s="15" t="n">
        <x:f>INDEX('Inputs'!$D$4:$D$6,MATCH(A20,'Inputs'!$A$4:$A$6,0))</x:f>
        <x:v>189</x:v>
      </x:c>
      <x:c r="G20" s="15" t="n">
        <x:f>INDEX('Inputs'!$E$4:$E$6,MATCH(A20,'Inputs'!$A$4:$A$6,0))</x:f>
        <x:v>85</x:v>
      </x:c>
      <x:c r="H20" s="15" t="n">
        <x:f>D20*(1-E20)</x:f>
        <x:v>279.2</x:v>
      </x:c>
      <x:c r="I20" s="15" t="n">
        <x:f>F20+G20</x:f>
        <x:v>274</x:v>
      </x:c>
      <x:c r="J20" s="15" t="n">
        <x:f>H20-I20</x:f>
        <x:v>5.199999999999989</x:v>
      </x:c>
      <x:c r="K20" s="16" t="n">
        <x:f>IFERROR(J20/H20,0)</x:f>
        <x:v>0.018624641833810848</x:v>
      </x:c>
      <x:c r="L20" s="14" t="str">
        <x:f>IF(J20&gt;0,"Provisional positive contribution","Not viable")</x:f>
        <x:v>Provisional positive contribution</x:v>
      </x:c>
    </x:row>
    <x:row r="21">
      <x:c r="A21" s="14" t="str">
        <x:v>300gsm Oversized Cotton</x:v>
      </x:c>
      <x:c r="B21" s="14" t="n">
        <x:v>10</x:v>
      </x:c>
      <x:c r="C21" s="15" t="n">
        <x:v>649</x:v>
      </x:c>
      <x:c r="D21" s="15" t="n">
        <x:v>349</x:v>
      </x:c>
      <x:c r="E21" s="16" t="n">
        <x:v>0.25</x:v>
      </x:c>
      <x:c r="F21" s="15" t="n">
        <x:f>INDEX('Inputs'!$D$4:$D$6,MATCH(A21,'Inputs'!$A$4:$A$6,0))</x:f>
        <x:v>189</x:v>
      </x:c>
      <x:c r="G21" s="15" t="n">
        <x:f>INDEX('Inputs'!$E$4:$E$6,MATCH(A21,'Inputs'!$A$4:$A$6,0))</x:f>
        <x:v>85</x:v>
      </x:c>
      <x:c r="H21" s="15" t="n">
        <x:f>D21*(1-E21)</x:f>
        <x:v>261.75</x:v>
      </x:c>
      <x:c r="I21" s="15" t="n">
        <x:f>F21+G21</x:f>
        <x:v>274</x:v>
      </x:c>
      <x:c r="J21" s="15" t="n">
        <x:f>H21-I21</x:f>
        <x:v>-12.25</x:v>
      </x:c>
      <x:c r="K21" s="16" t="n">
        <x:f>IFERROR(J21/H21,0)</x:f>
        <x:v>-0.04680038204393505</x:v>
      </x:c>
      <x:c r="L21" s="14" t="str">
        <x:f>IF(J21&gt;0,"Provisional positive contribution","Not viable")</x:f>
        <x:v>Not viable</x:v>
      </x:c>
    </x:row>
    <x:row r="22">
      <x:c r="A22" s="14" t="str">
        <x:v>300gsm Oversized Cotton</x:v>
      </x:c>
      <x:c r="B22" s="14" t="n">
        <x:v>10</x:v>
      </x:c>
      <x:c r="C22" s="15" t="n">
        <x:v>649</x:v>
      </x:c>
      <x:c r="D22" s="15" t="n">
        <x:v>349</x:v>
      </x:c>
      <x:c r="E22" s="16" t="n">
        <x:v>0.3</x:v>
      </x:c>
      <x:c r="F22" s="15" t="n">
        <x:f>INDEX('Inputs'!$D$4:$D$6,MATCH(A22,'Inputs'!$A$4:$A$6,0))</x:f>
        <x:v>189</x:v>
      </x:c>
      <x:c r="G22" s="15" t="n">
        <x:f>INDEX('Inputs'!$E$4:$E$6,MATCH(A22,'Inputs'!$A$4:$A$6,0))</x:f>
        <x:v>85</x:v>
      </x:c>
      <x:c r="H22" s="15" t="n">
        <x:f>D22*(1-E22)</x:f>
        <x:v>244.29999999999998</x:v>
      </x:c>
      <x:c r="I22" s="15" t="n">
        <x:f>F22+G22</x:f>
        <x:v>274</x:v>
      </x:c>
      <x:c r="J22" s="15" t="n">
        <x:f>H22-I22</x:f>
        <x:v>-29.700000000000017</x:v>
      </x:c>
      <x:c r="K22" s="16" t="n">
        <x:f>IFERROR(J22/H22,0)</x:f>
        <x:v>-0.1215718379042162</x:v>
      </x:c>
      <x:c r="L22" s="14" t="str">
        <x:f>IF(J22&gt;0,"Provisional positive contribution","Not viable")</x:f>
        <x:v>Not viable</x:v>
      </x:c>
    </x:row>
    <x:row r="23">
      <x:c r="A23" s="14" t="str">
        <x:v>300gsm Oversized Cotton</x:v>
      </x:c>
      <x:c r="B23" s="14" t="n">
        <x:v>10</x:v>
      </x:c>
      <x:c r="C23" s="15" t="n">
        <x:v>649</x:v>
      </x:c>
      <x:c r="D23" s="15" t="n">
        <x:v>349</x:v>
      </x:c>
      <x:c r="E23" s="16" t="n">
        <x:v>0.35</x:v>
      </x:c>
      <x:c r="F23" s="15" t="n">
        <x:f>INDEX('Inputs'!$D$4:$D$6,MATCH(A23,'Inputs'!$A$4:$A$6,0))</x:f>
        <x:v>189</x:v>
      </x:c>
      <x:c r="G23" s="15" t="n">
        <x:f>INDEX('Inputs'!$E$4:$E$6,MATCH(A23,'Inputs'!$A$4:$A$6,0))</x:f>
        <x:v>85</x:v>
      </x:c>
      <x:c r="H23" s="15" t="n">
        <x:f>D23*(1-E23)</x:f>
        <x:v>226.85</x:v>
      </x:c>
      <x:c r="I23" s="15" t="n">
        <x:f>F23+G23</x:f>
        <x:v>274</x:v>
      </x:c>
      <x:c r="J23" s="15" t="n">
        <x:f>H23-I23</x:f>
        <x:v>-47.150000000000006</x:v>
      </x:c>
      <x:c r="K23" s="16" t="n">
        <x:f>IFERROR(J23/H23,0)</x:f>
        <x:v>-0.20784659466607894</x:v>
      </x:c>
      <x:c r="L23" s="14" t="str">
        <x:f>IF(J23&gt;0,"Provisional positive contribution","Not viable")</x:f>
        <x:v>Not viable</x:v>
      </x:c>
    </x:row>
    <x:row r="24">
      <x:c r="A24" s="14" t="str">
        <x:v>300gsm Oversized Cotton</x:v>
      </x:c>
      <x:c r="B24" s="14" t="n">
        <x:v>10</x:v>
      </x:c>
      <x:c r="C24" s="15" t="n">
        <x:v>649</x:v>
      </x:c>
      <x:c r="D24" s="15" t="n">
        <x:v>399</x:v>
      </x:c>
      <x:c r="E24" s="16" t="n">
        <x:v>0.2</x:v>
      </x:c>
      <x:c r="F24" s="15" t="n">
        <x:f>INDEX('Inputs'!$D$4:$D$6,MATCH(A24,'Inputs'!$A$4:$A$6,0))</x:f>
        <x:v>189</x:v>
      </x:c>
      <x:c r="G24" s="15" t="n">
        <x:f>INDEX('Inputs'!$E$4:$E$6,MATCH(A24,'Inputs'!$A$4:$A$6,0))</x:f>
        <x:v>85</x:v>
      </x:c>
      <x:c r="H24" s="15" t="n">
        <x:f>D24*(1-E24)</x:f>
        <x:v>319.20000000000005</x:v>
      </x:c>
      <x:c r="I24" s="15" t="n">
        <x:f>F24+G24</x:f>
        <x:v>274</x:v>
      </x:c>
      <x:c r="J24" s="15" t="n">
        <x:f>H24-I24</x:f>
        <x:v>45.200000000000045</x:v>
      </x:c>
      <x:c r="K24" s="16" t="n">
        <x:f>IFERROR(J24/H24,0)</x:f>
        <x:v>0.1416040100250628</x:v>
      </x:c>
      <x:c r="L24" s="14" t="str">
        <x:f>IF(J24&gt;0,"Provisional positive contribution","Not viable")</x:f>
        <x:v>Provisional positive contribution</x:v>
      </x:c>
    </x:row>
    <x:row r="25">
      <x:c r="A25" s="14" t="str">
        <x:v>300gsm Oversized Cotton</x:v>
      </x:c>
      <x:c r="B25" s="14" t="n">
        <x:v>10</x:v>
      </x:c>
      <x:c r="C25" s="15" t="n">
        <x:v>649</x:v>
      </x:c>
      <x:c r="D25" s="15" t="n">
        <x:v>399</x:v>
      </x:c>
      <x:c r="E25" s="16" t="n">
        <x:v>0.25</x:v>
      </x:c>
      <x:c r="F25" s="15" t="n">
        <x:f>INDEX('Inputs'!$D$4:$D$6,MATCH(A25,'Inputs'!$A$4:$A$6,0))</x:f>
        <x:v>189</x:v>
      </x:c>
      <x:c r="G25" s="15" t="n">
        <x:f>INDEX('Inputs'!$E$4:$E$6,MATCH(A25,'Inputs'!$A$4:$A$6,0))</x:f>
        <x:v>85</x:v>
      </x:c>
      <x:c r="H25" s="15" t="n">
        <x:f>D25*(1-E25)</x:f>
        <x:v>299.25</x:v>
      </x:c>
      <x:c r="I25" s="15" t="n">
        <x:f>F25+G25</x:f>
        <x:v>274</x:v>
      </x:c>
      <x:c r="J25" s="15" t="n">
        <x:f>H25-I25</x:f>
        <x:v>25.25</x:v>
      </x:c>
      <x:c r="K25" s="16" t="n">
        <x:f>IFERROR(J25/H25,0)</x:f>
        <x:v>0.08437761069340016</x:v>
      </x:c>
      <x:c r="L25" s="14" t="str">
        <x:f>IF(J25&gt;0,"Provisional positive contribution","Not viable")</x:f>
        <x:v>Provisional positive contribution</x:v>
      </x:c>
    </x:row>
    <x:row r="26">
      <x:c r="A26" s="14" t="str">
        <x:v>300gsm Oversized Cotton</x:v>
      </x:c>
      <x:c r="B26" s="14" t="n">
        <x:v>10</x:v>
      </x:c>
      <x:c r="C26" s="15" t="n">
        <x:v>649</x:v>
      </x:c>
      <x:c r="D26" s="15" t="n">
        <x:v>399</x:v>
      </x:c>
      <x:c r="E26" s="16" t="n">
        <x:v>0.3</x:v>
      </x:c>
      <x:c r="F26" s="15" t="n">
        <x:f>INDEX('Inputs'!$D$4:$D$6,MATCH(A26,'Inputs'!$A$4:$A$6,0))</x:f>
        <x:v>189</x:v>
      </x:c>
      <x:c r="G26" s="15" t="n">
        <x:f>INDEX('Inputs'!$E$4:$E$6,MATCH(A26,'Inputs'!$A$4:$A$6,0))</x:f>
        <x:v>85</x:v>
      </x:c>
      <x:c r="H26" s="15" t="n">
        <x:f>D26*(1-E26)</x:f>
        <x:v>279.29999999999995</x:v>
      </x:c>
      <x:c r="I26" s="15" t="n">
        <x:f>F26+G26</x:f>
        <x:v>274</x:v>
      </x:c>
      <x:c r="J26" s="15" t="n">
        <x:f>H26-I26</x:f>
        <x:v>5.2999999999999545</x:v>
      </x:c>
      <x:c r="K26" s="16" t="n">
        <x:f>IFERROR(J26/H26,0)</x:f>
        <x:v>0.018976011457214306</x:v>
      </x:c>
      <x:c r="L26" s="14" t="str">
        <x:f>IF(J26&gt;0,"Provisional positive contribution","Not viable")</x:f>
        <x:v>Provisional positive contribution</x:v>
      </x:c>
    </x:row>
    <x:row r="27">
      <x:c r="A27" s="14" t="str">
        <x:v>300gsm Oversized Cotton</x:v>
      </x:c>
      <x:c r="B27" s="14" t="n">
        <x:v>10</x:v>
      </x:c>
      <x:c r="C27" s="15" t="n">
        <x:v>649</x:v>
      </x:c>
      <x:c r="D27" s="15" t="n">
        <x:v>399</x:v>
      </x:c>
      <x:c r="E27" s="16" t="n">
        <x:v>0.35</x:v>
      </x:c>
      <x:c r="F27" s="15" t="n">
        <x:f>INDEX('Inputs'!$D$4:$D$6,MATCH(A27,'Inputs'!$A$4:$A$6,0))</x:f>
        <x:v>189</x:v>
      </x:c>
      <x:c r="G27" s="15" t="n">
        <x:f>INDEX('Inputs'!$E$4:$E$6,MATCH(A27,'Inputs'!$A$4:$A$6,0))</x:f>
        <x:v>85</x:v>
      </x:c>
      <x:c r="H27" s="15" t="n">
        <x:f>D27*(1-E27)</x:f>
        <x:v>259.35</x:v>
      </x:c>
      <x:c r="I27" s="15" t="n">
        <x:f>F27+G27</x:f>
        <x:v>274</x:v>
      </x:c>
      <x:c r="J27" s="15" t="n">
        <x:f>H27-I27</x:f>
        <x:v>-14.649999999999977</x:v>
      </x:c>
      <x:c r="K27" s="16" t="n">
        <x:f>IFERROR(J27/H27,0)</x:f>
        <x:v>-0.05648737227684587</x:v>
      </x:c>
      <x:c r="L27" s="14" t="str">
        <x:f>IF(J27&gt;0,"Provisional positive contribution","Not viable")</x:f>
        <x:v>Not viable</x:v>
      </x:c>
    </x:row>
    <x:row r="28">
      <x:c r="A28" s="14" t="str">
        <x:v>300gsm Oversized Cotton</x:v>
      </x:c>
      <x:c r="B28" s="14" t="n">
        <x:v>10</x:v>
      </x:c>
      <x:c r="C28" s="15" t="n">
        <x:v>649</x:v>
      </x:c>
      <x:c r="D28" s="15" t="n">
        <x:v>449</x:v>
      </x:c>
      <x:c r="E28" s="16" t="n">
        <x:v>0.2</x:v>
      </x:c>
      <x:c r="F28" s="15" t="n">
        <x:f>INDEX('Inputs'!$D$4:$D$6,MATCH(A28,'Inputs'!$A$4:$A$6,0))</x:f>
        <x:v>189</x:v>
      </x:c>
      <x:c r="G28" s="15" t="n">
        <x:f>INDEX('Inputs'!$E$4:$E$6,MATCH(A28,'Inputs'!$A$4:$A$6,0))</x:f>
        <x:v>85</x:v>
      </x:c>
      <x:c r="H28" s="15" t="n">
        <x:f>D28*(1-E28)</x:f>
        <x:v>359.20000000000005</x:v>
      </x:c>
      <x:c r="I28" s="15" t="n">
        <x:f>F28+G28</x:f>
        <x:v>274</x:v>
      </x:c>
      <x:c r="J28" s="15" t="n">
        <x:f>H28-I28</x:f>
        <x:v>85.20000000000005</x:v>
      </x:c>
      <x:c r="K28" s="16" t="n">
        <x:f>IFERROR(J28/H28,0)</x:f>
        <x:v>0.23719376391982191</x:v>
      </x:c>
      <x:c r="L28" s="14" t="str">
        <x:f>IF(J28&gt;0,"Provisional positive contribution","Not viable")</x:f>
        <x:v>Provisional positive contribution</x:v>
      </x:c>
    </x:row>
    <x:row r="29">
      <x:c r="A29" s="14" t="str">
        <x:v>300gsm Oversized Cotton</x:v>
      </x:c>
      <x:c r="B29" s="14" t="n">
        <x:v>10</x:v>
      </x:c>
      <x:c r="C29" s="15" t="n">
        <x:v>649</x:v>
      </x:c>
      <x:c r="D29" s="15" t="n">
        <x:v>449</x:v>
      </x:c>
      <x:c r="E29" s="16" t="n">
        <x:v>0.25</x:v>
      </x:c>
      <x:c r="F29" s="15" t="n">
        <x:f>INDEX('Inputs'!$D$4:$D$6,MATCH(A29,'Inputs'!$A$4:$A$6,0))</x:f>
        <x:v>189</x:v>
      </x:c>
      <x:c r="G29" s="15" t="n">
        <x:f>INDEX('Inputs'!$E$4:$E$6,MATCH(A29,'Inputs'!$A$4:$A$6,0))</x:f>
        <x:v>85</x:v>
      </x:c>
      <x:c r="H29" s="15" t="n">
        <x:f>D29*(1-E29)</x:f>
        <x:v>336.75</x:v>
      </x:c>
      <x:c r="I29" s="15" t="n">
        <x:f>F29+G29</x:f>
        <x:v>274</x:v>
      </x:c>
      <x:c r="J29" s="15" t="n">
        <x:f>H29-I29</x:f>
        <x:v>62.75</x:v>
      </x:c>
      <x:c r="K29" s="16" t="n">
        <x:f>IFERROR(J29/H29,0)</x:f>
        <x:v>0.18634001484780996</x:v>
      </x:c>
      <x:c r="L29" s="14" t="str">
        <x:f>IF(J29&gt;0,"Provisional positive contribution","Not viable")</x:f>
        <x:v>Provisional positive contribution</x:v>
      </x:c>
    </x:row>
    <x:row r="30">
      <x:c r="A30" s="14" t="str">
        <x:v>300gsm Oversized Cotton</x:v>
      </x:c>
      <x:c r="B30" s="14" t="n">
        <x:v>10</x:v>
      </x:c>
      <x:c r="C30" s="15" t="n">
        <x:v>649</x:v>
      </x:c>
      <x:c r="D30" s="15" t="n">
        <x:v>449</x:v>
      </x:c>
      <x:c r="E30" s="16" t="n">
        <x:v>0.3</x:v>
      </x:c>
      <x:c r="F30" s="15" t="n">
        <x:f>INDEX('Inputs'!$D$4:$D$6,MATCH(A30,'Inputs'!$A$4:$A$6,0))</x:f>
        <x:v>189</x:v>
      </x:c>
      <x:c r="G30" s="15" t="n">
        <x:f>INDEX('Inputs'!$E$4:$E$6,MATCH(A30,'Inputs'!$A$4:$A$6,0))</x:f>
        <x:v>85</x:v>
      </x:c>
      <x:c r="H30" s="15" t="n">
        <x:f>D30*(1-E30)</x:f>
        <x:v>314.29999999999995</x:v>
      </x:c>
      <x:c r="I30" s="15" t="n">
        <x:f>F30+G30</x:f>
        <x:v>274</x:v>
      </x:c>
      <x:c r="J30" s="15" t="n">
        <x:f>H30-I30</x:f>
        <x:v>40.299999999999955</x:v>
      </x:c>
      <x:c r="K30" s="16" t="n">
        <x:f>IFERROR(J30/H30,0)</x:f>
        <x:v>0.12822144447979625</x:v>
      </x:c>
      <x:c r="L30" s="14" t="str">
        <x:f>IF(J30&gt;0,"Provisional positive contribution","Not viable")</x:f>
        <x:v>Provisional positive contribution</x:v>
      </x:c>
    </x:row>
    <x:row r="31">
      <x:c r="A31" s="14" t="str">
        <x:v>300gsm Oversized Cotton</x:v>
      </x:c>
      <x:c r="B31" s="14" t="n">
        <x:v>10</x:v>
      </x:c>
      <x:c r="C31" s="15" t="n">
        <x:v>649</x:v>
      </x:c>
      <x:c r="D31" s="15" t="n">
        <x:v>449</x:v>
      </x:c>
      <x:c r="E31" s="16" t="n">
        <x:v>0.35</x:v>
      </x:c>
      <x:c r="F31" s="15" t="n">
        <x:f>INDEX('Inputs'!$D$4:$D$6,MATCH(A31,'Inputs'!$A$4:$A$6,0))</x:f>
        <x:v>189</x:v>
      </x:c>
      <x:c r="G31" s="15" t="n">
        <x:f>INDEX('Inputs'!$E$4:$E$6,MATCH(A31,'Inputs'!$A$4:$A$6,0))</x:f>
        <x:v>85</x:v>
      </x:c>
      <x:c r="H31" s="15" t="n">
        <x:f>D31*(1-E31)</x:f>
        <x:v>291.85</x:v>
      </x:c>
      <x:c r="I31" s="15" t="n">
        <x:f>F31+G31</x:f>
        <x:v>274</x:v>
      </x:c>
      <x:c r="J31" s="15" t="n">
        <x:f>H31-I31</x:f>
        <x:v>17.850000000000023</x:v>
      </x:c>
      <x:c r="K31" s="16" t="n">
        <x:f>IFERROR(J31/H31,0)</x:f>
        <x:v>0.06116155559362694</x:v>
      </x:c>
      <x:c r="L31" s="14" t="str">
        <x:f>IF(J31&gt;0,"Provisional positive contribution","Not viable")</x:f>
        <x:v>Provisional positive contribution</x:v>
      </x:c>
    </x:row>
    <x:row r="32">
      <x:c r="A32" s="14" t="str">
        <x:v>300gsm Oversized Cotton</x:v>
      </x:c>
      <x:c r="B32" s="14" t="n">
        <x:v>10</x:v>
      </x:c>
      <x:c r="C32" s="15" t="n">
        <x:v>649</x:v>
      </x:c>
      <x:c r="D32" s="15" t="n">
        <x:v>499</x:v>
      </x:c>
      <x:c r="E32" s="16" t="n">
        <x:v>0.2</x:v>
      </x:c>
      <x:c r="F32" s="15" t="n">
        <x:f>INDEX('Inputs'!$D$4:$D$6,MATCH(A32,'Inputs'!$A$4:$A$6,0))</x:f>
        <x:v>189</x:v>
      </x:c>
      <x:c r="G32" s="15" t="n">
        <x:f>INDEX('Inputs'!$E$4:$E$6,MATCH(A32,'Inputs'!$A$4:$A$6,0))</x:f>
        <x:v>85</x:v>
      </x:c>
      <x:c r="H32" s="15" t="n">
        <x:f>D32*(1-E32)</x:f>
        <x:v>399.20000000000005</x:v>
      </x:c>
      <x:c r="I32" s="15" t="n">
        <x:f>F32+G32</x:f>
        <x:v>274</x:v>
      </x:c>
      <x:c r="J32" s="15" t="n">
        <x:f>H32-I32</x:f>
        <x:v>125.20000000000005</x:v>
      </x:c>
      <x:c r="K32" s="16" t="n">
        <x:f>IFERROR(J32/H32,0)</x:f>
        <x:v>0.3136272545090181</x:v>
      </x:c>
      <x:c r="L32" s="14" t="str">
        <x:f>IF(J32&gt;0,"Provisional positive contribution","Not viable")</x:f>
        <x:v>Provisional positive contribution</x:v>
      </x:c>
    </x:row>
    <x:row r="33">
      <x:c r="A33" s="14" t="str">
        <x:v>300gsm Oversized Cotton</x:v>
      </x:c>
      <x:c r="B33" s="14" t="n">
        <x:v>10</x:v>
      </x:c>
      <x:c r="C33" s="15" t="n">
        <x:v>649</x:v>
      </x:c>
      <x:c r="D33" s="15" t="n">
        <x:v>499</x:v>
      </x:c>
      <x:c r="E33" s="16" t="n">
        <x:v>0.25</x:v>
      </x:c>
      <x:c r="F33" s="15" t="n">
        <x:f>INDEX('Inputs'!$D$4:$D$6,MATCH(A33,'Inputs'!$A$4:$A$6,0))</x:f>
        <x:v>189</x:v>
      </x:c>
      <x:c r="G33" s="15" t="n">
        <x:f>INDEX('Inputs'!$E$4:$E$6,MATCH(A33,'Inputs'!$A$4:$A$6,0))</x:f>
        <x:v>85</x:v>
      </x:c>
      <x:c r="H33" s="15" t="n">
        <x:f>D33*(1-E33)</x:f>
        <x:v>374.25</x:v>
      </x:c>
      <x:c r="I33" s="15" t="n">
        <x:f>F33+G33</x:f>
        <x:v>274</x:v>
      </x:c>
      <x:c r="J33" s="15" t="n">
        <x:f>H33-I33</x:f>
        <x:v>100.25</x:v>
      </x:c>
      <x:c r="K33" s="16" t="n">
        <x:f>IFERROR(J33/H33,0)</x:f>
        <x:v>0.2678690714762859</x:v>
      </x:c>
      <x:c r="L33" s="14" t="str">
        <x:f>IF(J33&gt;0,"Provisional positive contribution","Not viable")</x:f>
        <x:v>Provisional positive contribution</x:v>
      </x:c>
    </x:row>
    <x:row r="34">
      <x:c r="A34" s="14" t="str">
        <x:v>300gsm Oversized Cotton</x:v>
      </x:c>
      <x:c r="B34" s="14" t="n">
        <x:v>10</x:v>
      </x:c>
      <x:c r="C34" s="15" t="n">
        <x:v>649</x:v>
      </x:c>
      <x:c r="D34" s="15" t="n">
        <x:v>499</x:v>
      </x:c>
      <x:c r="E34" s="16" t="n">
        <x:v>0.3</x:v>
      </x:c>
      <x:c r="F34" s="15" t="n">
        <x:f>INDEX('Inputs'!$D$4:$D$6,MATCH(A34,'Inputs'!$A$4:$A$6,0))</x:f>
        <x:v>189</x:v>
      </x:c>
      <x:c r="G34" s="15" t="n">
        <x:f>INDEX('Inputs'!$E$4:$E$6,MATCH(A34,'Inputs'!$A$4:$A$6,0))</x:f>
        <x:v>85</x:v>
      </x:c>
      <x:c r="H34" s="15" t="n">
        <x:f>D34*(1-E34)</x:f>
        <x:v>349.29999999999995</x:v>
      </x:c>
      <x:c r="I34" s="15" t="n">
        <x:f>F34+G34</x:f>
        <x:v>274</x:v>
      </x:c>
      <x:c r="J34" s="15" t="n">
        <x:f>H34-I34</x:f>
        <x:v>75.29999999999995</x:v>
      </x:c>
      <x:c r="K34" s="16" t="n">
        <x:f>IFERROR(J34/H34,0)</x:f>
        <x:v>0.21557400515316336</x:v>
      </x:c>
      <x:c r="L34" s="14" t="str">
        <x:f>IF(J34&gt;0,"Provisional positive contribution","Not viable")</x:f>
        <x:v>Provisional positive contribution</x:v>
      </x:c>
    </x:row>
    <x:row r="35">
      <x:c r="A35" s="14" t="str">
        <x:v>300gsm Oversized Cotton</x:v>
      </x:c>
      <x:c r="B35" s="14" t="n">
        <x:v>10</x:v>
      </x:c>
      <x:c r="C35" s="15" t="n">
        <x:v>649</x:v>
      </x:c>
      <x:c r="D35" s="15" t="n">
        <x:v>499</x:v>
      </x:c>
      <x:c r="E35" s="16" t="n">
        <x:v>0.35</x:v>
      </x:c>
      <x:c r="F35" s="15" t="n">
        <x:f>INDEX('Inputs'!$D$4:$D$6,MATCH(A35,'Inputs'!$A$4:$A$6,0))</x:f>
        <x:v>189</x:v>
      </x:c>
      <x:c r="G35" s="15" t="n">
        <x:f>INDEX('Inputs'!$E$4:$E$6,MATCH(A35,'Inputs'!$A$4:$A$6,0))</x:f>
        <x:v>85</x:v>
      </x:c>
      <x:c r="H35" s="15" t="n">
        <x:f>D35*(1-E35)</x:f>
        <x:v>324.35</x:v>
      </x:c>
      <x:c r="I35" s="15" t="n">
        <x:f>F35+G35</x:f>
        <x:v>274</x:v>
      </x:c>
      <x:c r="J35" s="15" t="n">
        <x:f>H35-I35</x:f>
        <x:v>50.35000000000002</x:v>
      </x:c>
      <x:c r="K35" s="16" t="n">
        <x:f>IFERROR(J35/H35,0)</x:f>
        <x:v>0.15523354401109918</x:v>
      </x:c>
      <x:c r="L35" s="14" t="str">
        <x:f>IF(J35&gt;0,"Provisional positive contribution","Not viable")</x:f>
        <x:v>Provisional positive contribution</x:v>
      </x:c>
    </x:row>
    <x:row r="36">
      <x:c r="A36" s="14" t="str">
        <x:v>300gsm Oversized Cotton</x:v>
      </x:c>
      <x:c r="B36" s="14" t="n">
        <x:v>10</x:v>
      </x:c>
      <x:c r="C36" s="15" t="n">
        <x:v>699</x:v>
      </x:c>
      <x:c r="D36" s="15" t="n">
        <x:v>349</x:v>
      </x:c>
      <x:c r="E36" s="16" t="n">
        <x:v>0.2</x:v>
      </x:c>
      <x:c r="F36" s="15" t="n">
        <x:f>INDEX('Inputs'!$D$4:$D$6,MATCH(A36,'Inputs'!$A$4:$A$6,0))</x:f>
        <x:v>189</x:v>
      </x:c>
      <x:c r="G36" s="15" t="n">
        <x:f>INDEX('Inputs'!$E$4:$E$6,MATCH(A36,'Inputs'!$A$4:$A$6,0))</x:f>
        <x:v>85</x:v>
      </x:c>
      <x:c r="H36" s="15" t="n">
        <x:f>D36*(1-E36)</x:f>
        <x:v>279.2</x:v>
      </x:c>
      <x:c r="I36" s="15" t="n">
        <x:f>F36+G36</x:f>
        <x:v>274</x:v>
      </x:c>
      <x:c r="J36" s="15" t="n">
        <x:f>H36-I36</x:f>
        <x:v>5.199999999999989</x:v>
      </x:c>
      <x:c r="K36" s="16" t="n">
        <x:f>IFERROR(J36/H36,0)</x:f>
        <x:v>0.018624641833810848</x:v>
      </x:c>
      <x:c r="L36" s="14" t="str">
        <x:f>IF(J36&gt;0,"Provisional positive contribution","Not viable")</x:f>
        <x:v>Provisional positive contribution</x:v>
      </x:c>
    </x:row>
    <x:row r="37">
      <x:c r="A37" s="14" t="str">
        <x:v>300gsm Oversized Cotton</x:v>
      </x:c>
      <x:c r="B37" s="14" t="n">
        <x:v>10</x:v>
      </x:c>
      <x:c r="C37" s="15" t="n">
        <x:v>699</x:v>
      </x:c>
      <x:c r="D37" s="15" t="n">
        <x:v>349</x:v>
      </x:c>
      <x:c r="E37" s="16" t="n">
        <x:v>0.25</x:v>
      </x:c>
      <x:c r="F37" s="15" t="n">
        <x:f>INDEX('Inputs'!$D$4:$D$6,MATCH(A37,'Inputs'!$A$4:$A$6,0))</x:f>
        <x:v>189</x:v>
      </x:c>
      <x:c r="G37" s="15" t="n">
        <x:f>INDEX('Inputs'!$E$4:$E$6,MATCH(A37,'Inputs'!$A$4:$A$6,0))</x:f>
        <x:v>85</x:v>
      </x:c>
      <x:c r="H37" s="15" t="n">
        <x:f>D37*(1-E37)</x:f>
        <x:v>261.75</x:v>
      </x:c>
      <x:c r="I37" s="15" t="n">
        <x:f>F37+G37</x:f>
        <x:v>274</x:v>
      </x:c>
      <x:c r="J37" s="15" t="n">
        <x:f>H37-I37</x:f>
        <x:v>-12.25</x:v>
      </x:c>
      <x:c r="K37" s="16" t="n">
        <x:f>IFERROR(J37/H37,0)</x:f>
        <x:v>-0.04680038204393505</x:v>
      </x:c>
      <x:c r="L37" s="14" t="str">
        <x:f>IF(J37&gt;0,"Provisional positive contribution","Not viable")</x:f>
        <x:v>Not viable</x:v>
      </x:c>
    </x:row>
    <x:row r="38">
      <x:c r="A38" s="14" t="str">
        <x:v>300gsm Oversized Cotton</x:v>
      </x:c>
      <x:c r="B38" s="14" t="n">
        <x:v>10</x:v>
      </x:c>
      <x:c r="C38" s="15" t="n">
        <x:v>699</x:v>
      </x:c>
      <x:c r="D38" s="15" t="n">
        <x:v>349</x:v>
      </x:c>
      <x:c r="E38" s="16" t="n">
        <x:v>0.3</x:v>
      </x:c>
      <x:c r="F38" s="15" t="n">
        <x:f>INDEX('Inputs'!$D$4:$D$6,MATCH(A38,'Inputs'!$A$4:$A$6,0))</x:f>
        <x:v>189</x:v>
      </x:c>
      <x:c r="G38" s="15" t="n">
        <x:f>INDEX('Inputs'!$E$4:$E$6,MATCH(A38,'Inputs'!$A$4:$A$6,0))</x:f>
        <x:v>85</x:v>
      </x:c>
      <x:c r="H38" s="15" t="n">
        <x:f>D38*(1-E38)</x:f>
        <x:v>244.29999999999998</x:v>
      </x:c>
      <x:c r="I38" s="15" t="n">
        <x:f>F38+G38</x:f>
        <x:v>274</x:v>
      </x:c>
      <x:c r="J38" s="15" t="n">
        <x:f>H38-I38</x:f>
        <x:v>-29.700000000000017</x:v>
      </x:c>
      <x:c r="K38" s="16" t="n">
        <x:f>IFERROR(J38/H38,0)</x:f>
        <x:v>-0.1215718379042162</x:v>
      </x:c>
      <x:c r="L38" s="14" t="str">
        <x:f>IF(J38&gt;0,"Provisional positive contribution","Not viable")</x:f>
        <x:v>Not viable</x:v>
      </x:c>
    </x:row>
    <x:row r="39">
      <x:c r="A39" s="14" t="str">
        <x:v>300gsm Oversized Cotton</x:v>
      </x:c>
      <x:c r="B39" s="14" t="n">
        <x:v>10</x:v>
      </x:c>
      <x:c r="C39" s="15" t="n">
        <x:v>699</x:v>
      </x:c>
      <x:c r="D39" s="15" t="n">
        <x:v>349</x:v>
      </x:c>
      <x:c r="E39" s="16" t="n">
        <x:v>0.35</x:v>
      </x:c>
      <x:c r="F39" s="15" t="n">
        <x:f>INDEX('Inputs'!$D$4:$D$6,MATCH(A39,'Inputs'!$A$4:$A$6,0))</x:f>
        <x:v>189</x:v>
      </x:c>
      <x:c r="G39" s="15" t="n">
        <x:f>INDEX('Inputs'!$E$4:$E$6,MATCH(A39,'Inputs'!$A$4:$A$6,0))</x:f>
        <x:v>85</x:v>
      </x:c>
      <x:c r="H39" s="15" t="n">
        <x:f>D39*(1-E39)</x:f>
        <x:v>226.85</x:v>
      </x:c>
      <x:c r="I39" s="15" t="n">
        <x:f>F39+G39</x:f>
        <x:v>274</x:v>
      </x:c>
      <x:c r="J39" s="15" t="n">
        <x:f>H39-I39</x:f>
        <x:v>-47.150000000000006</x:v>
      </x:c>
      <x:c r="K39" s="16" t="n">
        <x:f>IFERROR(J39/H39,0)</x:f>
        <x:v>-0.20784659466607894</x:v>
      </x:c>
      <x:c r="L39" s="14" t="str">
        <x:f>IF(J39&gt;0,"Provisional positive contribution","Not viable")</x:f>
        <x:v>Not viable</x:v>
      </x:c>
    </x:row>
    <x:row r="40">
      <x:c r="A40" s="14" t="str">
        <x:v>300gsm Oversized Cotton</x:v>
      </x:c>
      <x:c r="B40" s="14" t="n">
        <x:v>10</x:v>
      </x:c>
      <x:c r="C40" s="15" t="n">
        <x:v>699</x:v>
      </x:c>
      <x:c r="D40" s="15" t="n">
        <x:v>399</x:v>
      </x:c>
      <x:c r="E40" s="16" t="n">
        <x:v>0.2</x:v>
      </x:c>
      <x:c r="F40" s="15" t="n">
        <x:f>INDEX('Inputs'!$D$4:$D$6,MATCH(A40,'Inputs'!$A$4:$A$6,0))</x:f>
        <x:v>189</x:v>
      </x:c>
      <x:c r="G40" s="15" t="n">
        <x:f>INDEX('Inputs'!$E$4:$E$6,MATCH(A40,'Inputs'!$A$4:$A$6,0))</x:f>
        <x:v>85</x:v>
      </x:c>
      <x:c r="H40" s="15" t="n">
        <x:f>D40*(1-E40)</x:f>
        <x:v>319.20000000000005</x:v>
      </x:c>
      <x:c r="I40" s="15" t="n">
        <x:f>F40+G40</x:f>
        <x:v>274</x:v>
      </x:c>
      <x:c r="J40" s="15" t="n">
        <x:f>H40-I40</x:f>
        <x:v>45.200000000000045</x:v>
      </x:c>
      <x:c r="K40" s="16" t="n">
        <x:f>IFERROR(J40/H40,0)</x:f>
        <x:v>0.1416040100250628</x:v>
      </x:c>
      <x:c r="L40" s="14" t="str">
        <x:f>IF(J40&gt;0,"Provisional positive contribution","Not viable")</x:f>
        <x:v>Provisional positive contribution</x:v>
      </x:c>
    </x:row>
    <x:row r="41">
      <x:c r="A41" s="14" t="str">
        <x:v>300gsm Oversized Cotton</x:v>
      </x:c>
      <x:c r="B41" s="14" t="n">
        <x:v>10</x:v>
      </x:c>
      <x:c r="C41" s="15" t="n">
        <x:v>699</x:v>
      </x:c>
      <x:c r="D41" s="15" t="n">
        <x:v>399</x:v>
      </x:c>
      <x:c r="E41" s="16" t="n">
        <x:v>0.25</x:v>
      </x:c>
      <x:c r="F41" s="15" t="n">
        <x:f>INDEX('Inputs'!$D$4:$D$6,MATCH(A41,'Inputs'!$A$4:$A$6,0))</x:f>
        <x:v>189</x:v>
      </x:c>
      <x:c r="G41" s="15" t="n">
        <x:f>INDEX('Inputs'!$E$4:$E$6,MATCH(A41,'Inputs'!$A$4:$A$6,0))</x:f>
        <x:v>85</x:v>
      </x:c>
      <x:c r="H41" s="15" t="n">
        <x:f>D41*(1-E41)</x:f>
        <x:v>299.25</x:v>
      </x:c>
      <x:c r="I41" s="15" t="n">
        <x:f>F41+G41</x:f>
        <x:v>274</x:v>
      </x:c>
      <x:c r="J41" s="15" t="n">
        <x:f>H41-I41</x:f>
        <x:v>25.25</x:v>
      </x:c>
      <x:c r="K41" s="16" t="n">
        <x:f>IFERROR(J41/H41,0)</x:f>
        <x:v>0.08437761069340016</x:v>
      </x:c>
      <x:c r="L41" s="14" t="str">
        <x:f>IF(J41&gt;0,"Provisional positive contribution","Not viable")</x:f>
        <x:v>Provisional positive contribution</x:v>
      </x:c>
    </x:row>
    <x:row r="42">
      <x:c r="A42" s="14" t="str">
        <x:v>300gsm Oversized Cotton</x:v>
      </x:c>
      <x:c r="B42" s="14" t="n">
        <x:v>10</x:v>
      </x:c>
      <x:c r="C42" s="15" t="n">
        <x:v>699</x:v>
      </x:c>
      <x:c r="D42" s="15" t="n">
        <x:v>399</x:v>
      </x:c>
      <x:c r="E42" s="16" t="n">
        <x:v>0.3</x:v>
      </x:c>
      <x:c r="F42" s="15" t="n">
        <x:f>INDEX('Inputs'!$D$4:$D$6,MATCH(A42,'Inputs'!$A$4:$A$6,0))</x:f>
        <x:v>189</x:v>
      </x:c>
      <x:c r="G42" s="15" t="n">
        <x:f>INDEX('Inputs'!$E$4:$E$6,MATCH(A42,'Inputs'!$A$4:$A$6,0))</x:f>
        <x:v>85</x:v>
      </x:c>
      <x:c r="H42" s="15" t="n">
        <x:f>D42*(1-E42)</x:f>
        <x:v>279.29999999999995</x:v>
      </x:c>
      <x:c r="I42" s="15" t="n">
        <x:f>F42+G42</x:f>
        <x:v>274</x:v>
      </x:c>
      <x:c r="J42" s="15" t="n">
        <x:f>H42-I42</x:f>
        <x:v>5.2999999999999545</x:v>
      </x:c>
      <x:c r="K42" s="16" t="n">
        <x:f>IFERROR(J42/H42,0)</x:f>
        <x:v>0.018976011457214306</x:v>
      </x:c>
      <x:c r="L42" s="14" t="str">
        <x:f>IF(J42&gt;0,"Provisional positive contribution","Not viable")</x:f>
        <x:v>Provisional positive contribution</x:v>
      </x:c>
    </x:row>
    <x:row r="43">
      <x:c r="A43" s="14" t="str">
        <x:v>300gsm Oversized Cotton</x:v>
      </x:c>
      <x:c r="B43" s="14" t="n">
        <x:v>10</x:v>
      </x:c>
      <x:c r="C43" s="15" t="n">
        <x:v>699</x:v>
      </x:c>
      <x:c r="D43" s="15" t="n">
        <x:v>399</x:v>
      </x:c>
      <x:c r="E43" s="16" t="n">
        <x:v>0.35</x:v>
      </x:c>
      <x:c r="F43" s="15" t="n">
        <x:f>INDEX('Inputs'!$D$4:$D$6,MATCH(A43,'Inputs'!$A$4:$A$6,0))</x:f>
        <x:v>189</x:v>
      </x:c>
      <x:c r="G43" s="15" t="n">
        <x:f>INDEX('Inputs'!$E$4:$E$6,MATCH(A43,'Inputs'!$A$4:$A$6,0))</x:f>
        <x:v>85</x:v>
      </x:c>
      <x:c r="H43" s="15" t="n">
        <x:f>D43*(1-E43)</x:f>
        <x:v>259.35</x:v>
      </x:c>
      <x:c r="I43" s="15" t="n">
        <x:f>F43+G43</x:f>
        <x:v>274</x:v>
      </x:c>
      <x:c r="J43" s="15" t="n">
        <x:f>H43-I43</x:f>
        <x:v>-14.649999999999977</x:v>
      </x:c>
      <x:c r="K43" s="16" t="n">
        <x:f>IFERROR(J43/H43,0)</x:f>
        <x:v>-0.05648737227684587</x:v>
      </x:c>
      <x:c r="L43" s="14" t="str">
        <x:f>IF(J43&gt;0,"Provisional positive contribution","Not viable")</x:f>
        <x:v>Not viable</x:v>
      </x:c>
    </x:row>
    <x:row r="44">
      <x:c r="A44" s="14" t="str">
        <x:v>300gsm Oversized Cotton</x:v>
      </x:c>
      <x:c r="B44" s="14" t="n">
        <x:v>10</x:v>
      </x:c>
      <x:c r="C44" s="15" t="n">
        <x:v>699</x:v>
      </x:c>
      <x:c r="D44" s="15" t="n">
        <x:v>449</x:v>
      </x:c>
      <x:c r="E44" s="16" t="n">
        <x:v>0.2</x:v>
      </x:c>
      <x:c r="F44" s="15" t="n">
        <x:f>INDEX('Inputs'!$D$4:$D$6,MATCH(A44,'Inputs'!$A$4:$A$6,0))</x:f>
        <x:v>189</x:v>
      </x:c>
      <x:c r="G44" s="15" t="n">
        <x:f>INDEX('Inputs'!$E$4:$E$6,MATCH(A44,'Inputs'!$A$4:$A$6,0))</x:f>
        <x:v>85</x:v>
      </x:c>
      <x:c r="H44" s="15" t="n">
        <x:f>D44*(1-E44)</x:f>
        <x:v>359.20000000000005</x:v>
      </x:c>
      <x:c r="I44" s="15" t="n">
        <x:f>F44+G44</x:f>
        <x:v>274</x:v>
      </x:c>
      <x:c r="J44" s="15" t="n">
        <x:f>H44-I44</x:f>
        <x:v>85.20000000000005</x:v>
      </x:c>
      <x:c r="K44" s="16" t="n">
        <x:f>IFERROR(J44/H44,0)</x:f>
        <x:v>0.23719376391982191</x:v>
      </x:c>
      <x:c r="L44" s="14" t="str">
        <x:f>IF(J44&gt;0,"Provisional positive contribution","Not viable")</x:f>
        <x:v>Provisional positive contribution</x:v>
      </x:c>
    </x:row>
    <x:row r="45">
      <x:c r="A45" s="14" t="str">
        <x:v>300gsm Oversized Cotton</x:v>
      </x:c>
      <x:c r="B45" s="14" t="n">
        <x:v>10</x:v>
      </x:c>
      <x:c r="C45" s="15" t="n">
        <x:v>699</x:v>
      </x:c>
      <x:c r="D45" s="15" t="n">
        <x:v>449</x:v>
      </x:c>
      <x:c r="E45" s="16" t="n">
        <x:v>0.25</x:v>
      </x:c>
      <x:c r="F45" s="15" t="n">
        <x:f>INDEX('Inputs'!$D$4:$D$6,MATCH(A45,'Inputs'!$A$4:$A$6,0))</x:f>
        <x:v>189</x:v>
      </x:c>
      <x:c r="G45" s="15" t="n">
        <x:f>INDEX('Inputs'!$E$4:$E$6,MATCH(A45,'Inputs'!$A$4:$A$6,0))</x:f>
        <x:v>85</x:v>
      </x:c>
      <x:c r="H45" s="15" t="n">
        <x:f>D45*(1-E45)</x:f>
        <x:v>336.75</x:v>
      </x:c>
      <x:c r="I45" s="15" t="n">
        <x:f>F45+G45</x:f>
        <x:v>274</x:v>
      </x:c>
      <x:c r="J45" s="15" t="n">
        <x:f>H45-I45</x:f>
        <x:v>62.75</x:v>
      </x:c>
      <x:c r="K45" s="16" t="n">
        <x:f>IFERROR(J45/H45,0)</x:f>
        <x:v>0.18634001484780996</x:v>
      </x:c>
      <x:c r="L45" s="14" t="str">
        <x:f>IF(J45&gt;0,"Provisional positive contribution","Not viable")</x:f>
        <x:v>Provisional positive contribution</x:v>
      </x:c>
    </x:row>
    <x:row r="46">
      <x:c r="A46" s="14" t="str">
        <x:v>300gsm Oversized Cotton</x:v>
      </x:c>
      <x:c r="B46" s="14" t="n">
        <x:v>10</x:v>
      </x:c>
      <x:c r="C46" s="15" t="n">
        <x:v>699</x:v>
      </x:c>
      <x:c r="D46" s="15" t="n">
        <x:v>449</x:v>
      </x:c>
      <x:c r="E46" s="16" t="n">
        <x:v>0.3</x:v>
      </x:c>
      <x:c r="F46" s="15" t="n">
        <x:f>INDEX('Inputs'!$D$4:$D$6,MATCH(A46,'Inputs'!$A$4:$A$6,0))</x:f>
        <x:v>189</x:v>
      </x:c>
      <x:c r="G46" s="15" t="n">
        <x:f>INDEX('Inputs'!$E$4:$E$6,MATCH(A46,'Inputs'!$A$4:$A$6,0))</x:f>
        <x:v>85</x:v>
      </x:c>
      <x:c r="H46" s="15" t="n">
        <x:f>D46*(1-E46)</x:f>
        <x:v>314.29999999999995</x:v>
      </x:c>
      <x:c r="I46" s="15" t="n">
        <x:f>F46+G46</x:f>
        <x:v>274</x:v>
      </x:c>
      <x:c r="J46" s="15" t="n">
        <x:f>H46-I46</x:f>
        <x:v>40.299999999999955</x:v>
      </x:c>
      <x:c r="K46" s="16" t="n">
        <x:f>IFERROR(J46/H46,0)</x:f>
        <x:v>0.12822144447979625</x:v>
      </x:c>
      <x:c r="L46" s="14" t="str">
        <x:f>IF(J46&gt;0,"Provisional positive contribution","Not viable")</x:f>
        <x:v>Provisional positive contribution</x:v>
      </x:c>
    </x:row>
    <x:row r="47">
      <x:c r="A47" s="14" t="str">
        <x:v>300gsm Oversized Cotton</x:v>
      </x:c>
      <x:c r="B47" s="14" t="n">
        <x:v>10</x:v>
      </x:c>
      <x:c r="C47" s="15" t="n">
        <x:v>699</x:v>
      </x:c>
      <x:c r="D47" s="15" t="n">
        <x:v>449</x:v>
      </x:c>
      <x:c r="E47" s="16" t="n">
        <x:v>0.35</x:v>
      </x:c>
      <x:c r="F47" s="15" t="n">
        <x:f>INDEX('Inputs'!$D$4:$D$6,MATCH(A47,'Inputs'!$A$4:$A$6,0))</x:f>
        <x:v>189</x:v>
      </x:c>
      <x:c r="G47" s="15" t="n">
        <x:f>INDEX('Inputs'!$E$4:$E$6,MATCH(A47,'Inputs'!$A$4:$A$6,0))</x:f>
        <x:v>85</x:v>
      </x:c>
      <x:c r="H47" s="15" t="n">
        <x:f>D47*(1-E47)</x:f>
        <x:v>291.85</x:v>
      </x:c>
      <x:c r="I47" s="15" t="n">
        <x:f>F47+G47</x:f>
        <x:v>274</x:v>
      </x:c>
      <x:c r="J47" s="15" t="n">
        <x:f>H47-I47</x:f>
        <x:v>17.850000000000023</x:v>
      </x:c>
      <x:c r="K47" s="16" t="n">
        <x:f>IFERROR(J47/H47,0)</x:f>
        <x:v>0.06116155559362694</x:v>
      </x:c>
      <x:c r="L47" s="14" t="str">
        <x:f>IF(J47&gt;0,"Provisional positive contribution","Not viable")</x:f>
        <x:v>Provisional positive contribution</x:v>
      </x:c>
    </x:row>
    <x:row r="48">
      <x:c r="A48" s="14" t="str">
        <x:v>300gsm Oversized Cotton</x:v>
      </x:c>
      <x:c r="B48" s="14" t="n">
        <x:v>10</x:v>
      </x:c>
      <x:c r="C48" s="15" t="n">
        <x:v>699</x:v>
      </x:c>
      <x:c r="D48" s="15" t="n">
        <x:v>499</x:v>
      </x:c>
      <x:c r="E48" s="16" t="n">
        <x:v>0.2</x:v>
      </x:c>
      <x:c r="F48" s="15" t="n">
        <x:f>INDEX('Inputs'!$D$4:$D$6,MATCH(A48,'Inputs'!$A$4:$A$6,0))</x:f>
        <x:v>189</x:v>
      </x:c>
      <x:c r="G48" s="15" t="n">
        <x:f>INDEX('Inputs'!$E$4:$E$6,MATCH(A48,'Inputs'!$A$4:$A$6,0))</x:f>
        <x:v>85</x:v>
      </x:c>
      <x:c r="H48" s="15" t="n">
        <x:f>D48*(1-E48)</x:f>
        <x:v>399.20000000000005</x:v>
      </x:c>
      <x:c r="I48" s="15" t="n">
        <x:f>F48+G48</x:f>
        <x:v>274</x:v>
      </x:c>
      <x:c r="J48" s="15" t="n">
        <x:f>H48-I48</x:f>
        <x:v>125.20000000000005</x:v>
      </x:c>
      <x:c r="K48" s="16" t="n">
        <x:f>IFERROR(J48/H48,0)</x:f>
        <x:v>0.3136272545090181</x:v>
      </x:c>
      <x:c r="L48" s="14" t="str">
        <x:f>IF(J48&gt;0,"Provisional positive contribution","Not viable")</x:f>
        <x:v>Provisional positive contribution</x:v>
      </x:c>
    </x:row>
    <x:row r="49">
      <x:c r="A49" s="14" t="str">
        <x:v>300gsm Oversized Cotton</x:v>
      </x:c>
      <x:c r="B49" s="14" t="n">
        <x:v>10</x:v>
      </x:c>
      <x:c r="C49" s="15" t="n">
        <x:v>699</x:v>
      </x:c>
      <x:c r="D49" s="15" t="n">
        <x:v>499</x:v>
      </x:c>
      <x:c r="E49" s="16" t="n">
        <x:v>0.25</x:v>
      </x:c>
      <x:c r="F49" s="15" t="n">
        <x:f>INDEX('Inputs'!$D$4:$D$6,MATCH(A49,'Inputs'!$A$4:$A$6,0))</x:f>
        <x:v>189</x:v>
      </x:c>
      <x:c r="G49" s="15" t="n">
        <x:f>INDEX('Inputs'!$E$4:$E$6,MATCH(A49,'Inputs'!$A$4:$A$6,0))</x:f>
        <x:v>85</x:v>
      </x:c>
      <x:c r="H49" s="15" t="n">
        <x:f>D49*(1-E49)</x:f>
        <x:v>374.25</x:v>
      </x:c>
      <x:c r="I49" s="15" t="n">
        <x:f>F49+G49</x:f>
        <x:v>274</x:v>
      </x:c>
      <x:c r="J49" s="15" t="n">
        <x:f>H49-I49</x:f>
        <x:v>100.25</x:v>
      </x:c>
      <x:c r="K49" s="16" t="n">
        <x:f>IFERROR(J49/H49,0)</x:f>
        <x:v>0.2678690714762859</x:v>
      </x:c>
      <x:c r="L49" s="14" t="str">
        <x:f>IF(J49&gt;0,"Provisional positive contribution","Not viable")</x:f>
        <x:v>Provisional positive contribution</x:v>
      </x:c>
    </x:row>
    <x:row r="50">
      <x:c r="A50" s="14" t="str">
        <x:v>300gsm Oversized Cotton</x:v>
      </x:c>
      <x:c r="B50" s="14" t="n">
        <x:v>10</x:v>
      </x:c>
      <x:c r="C50" s="15" t="n">
        <x:v>699</x:v>
      </x:c>
      <x:c r="D50" s="15" t="n">
        <x:v>499</x:v>
      </x:c>
      <x:c r="E50" s="16" t="n">
        <x:v>0.3</x:v>
      </x:c>
      <x:c r="F50" s="15" t="n">
        <x:f>INDEX('Inputs'!$D$4:$D$6,MATCH(A50,'Inputs'!$A$4:$A$6,0))</x:f>
        <x:v>189</x:v>
      </x:c>
      <x:c r="G50" s="15" t="n">
        <x:f>INDEX('Inputs'!$E$4:$E$6,MATCH(A50,'Inputs'!$A$4:$A$6,0))</x:f>
        <x:v>85</x:v>
      </x:c>
      <x:c r="H50" s="15" t="n">
        <x:f>D50*(1-E50)</x:f>
        <x:v>349.29999999999995</x:v>
      </x:c>
      <x:c r="I50" s="15" t="n">
        <x:f>F50+G50</x:f>
        <x:v>274</x:v>
      </x:c>
      <x:c r="J50" s="15" t="n">
        <x:f>H50-I50</x:f>
        <x:v>75.29999999999995</x:v>
      </x:c>
      <x:c r="K50" s="16" t="n">
        <x:f>IFERROR(J50/H50,0)</x:f>
        <x:v>0.21557400515316336</x:v>
      </x:c>
      <x:c r="L50" s="14" t="str">
        <x:f>IF(J50&gt;0,"Provisional positive contribution","Not viable")</x:f>
        <x:v>Provisional positive contribution</x:v>
      </x:c>
    </x:row>
    <x:row r="51">
      <x:c r="A51" s="14" t="str">
        <x:v>300gsm Oversized Cotton</x:v>
      </x:c>
      <x:c r="B51" s="14" t="n">
        <x:v>10</x:v>
      </x:c>
      <x:c r="C51" s="15" t="n">
        <x:v>699</x:v>
      </x:c>
      <x:c r="D51" s="15" t="n">
        <x:v>499</x:v>
      </x:c>
      <x:c r="E51" s="16" t="n">
        <x:v>0.35</x:v>
      </x:c>
      <x:c r="F51" s="15" t="n">
        <x:f>INDEX('Inputs'!$D$4:$D$6,MATCH(A51,'Inputs'!$A$4:$A$6,0))</x:f>
        <x:v>189</x:v>
      </x:c>
      <x:c r="G51" s="15" t="n">
        <x:f>INDEX('Inputs'!$E$4:$E$6,MATCH(A51,'Inputs'!$A$4:$A$6,0))</x:f>
        <x:v>85</x:v>
      </x:c>
      <x:c r="H51" s="15" t="n">
        <x:f>D51*(1-E51)</x:f>
        <x:v>324.35</x:v>
      </x:c>
      <x:c r="I51" s="15" t="n">
        <x:f>F51+G51</x:f>
        <x:v>274</x:v>
      </x:c>
      <x:c r="J51" s="15" t="n">
        <x:f>H51-I51</x:f>
        <x:v>50.35000000000002</x:v>
      </x:c>
      <x:c r="K51" s="16" t="n">
        <x:f>IFERROR(J51/H51,0)</x:f>
        <x:v>0.15523354401109918</x:v>
      </x:c>
      <x:c r="L51" s="14" t="str">
        <x:f>IF(J51&gt;0,"Provisional positive contribution","Not viable")</x:f>
        <x:v>Provisional positive contribution</x:v>
      </x:c>
    </x:row>
    <x:row r="52">
      <x:c r="A52" s="14" t="str">
        <x:v>300gsm Oversized Cotton</x:v>
      </x:c>
      <x:c r="B52" s="14" t="n">
        <x:v>10</x:v>
      </x:c>
      <x:c r="C52" s="15" t="n">
        <x:v>749</x:v>
      </x:c>
      <x:c r="D52" s="15" t="n">
        <x:v>349</x:v>
      </x:c>
      <x:c r="E52" s="16" t="n">
        <x:v>0.2</x:v>
      </x:c>
      <x:c r="F52" s="15" t="n">
        <x:f>INDEX('Inputs'!$D$4:$D$6,MATCH(A52,'Inputs'!$A$4:$A$6,0))</x:f>
        <x:v>189</x:v>
      </x:c>
      <x:c r="G52" s="15" t="n">
        <x:f>INDEX('Inputs'!$E$4:$E$6,MATCH(A52,'Inputs'!$A$4:$A$6,0))</x:f>
        <x:v>85</x:v>
      </x:c>
      <x:c r="H52" s="15" t="n">
        <x:f>D52*(1-E52)</x:f>
        <x:v>279.2</x:v>
      </x:c>
      <x:c r="I52" s="15" t="n">
        <x:f>F52+G52</x:f>
        <x:v>274</x:v>
      </x:c>
      <x:c r="J52" s="15" t="n">
        <x:f>H52-I52</x:f>
        <x:v>5.199999999999989</x:v>
      </x:c>
      <x:c r="K52" s="16" t="n">
        <x:f>IFERROR(J52/H52,0)</x:f>
        <x:v>0.018624641833810848</x:v>
      </x:c>
      <x:c r="L52" s="14" t="str">
        <x:f>IF(J52&gt;0,"Provisional positive contribution","Not viable")</x:f>
        <x:v>Provisional positive contribution</x:v>
      </x:c>
    </x:row>
    <x:row r="53">
      <x:c r="A53" s="14" t="str">
        <x:v>300gsm Oversized Cotton</x:v>
      </x:c>
      <x:c r="B53" s="14" t="n">
        <x:v>10</x:v>
      </x:c>
      <x:c r="C53" s="15" t="n">
        <x:v>749</x:v>
      </x:c>
      <x:c r="D53" s="15" t="n">
        <x:v>349</x:v>
      </x:c>
      <x:c r="E53" s="16" t="n">
        <x:v>0.25</x:v>
      </x:c>
      <x:c r="F53" s="15" t="n">
        <x:f>INDEX('Inputs'!$D$4:$D$6,MATCH(A53,'Inputs'!$A$4:$A$6,0))</x:f>
        <x:v>189</x:v>
      </x:c>
      <x:c r="G53" s="15" t="n">
        <x:f>INDEX('Inputs'!$E$4:$E$6,MATCH(A53,'Inputs'!$A$4:$A$6,0))</x:f>
        <x:v>85</x:v>
      </x:c>
      <x:c r="H53" s="15" t="n">
        <x:f>D53*(1-E53)</x:f>
        <x:v>261.75</x:v>
      </x:c>
      <x:c r="I53" s="15" t="n">
        <x:f>F53+G53</x:f>
        <x:v>274</x:v>
      </x:c>
      <x:c r="J53" s="15" t="n">
        <x:f>H53-I53</x:f>
        <x:v>-12.25</x:v>
      </x:c>
      <x:c r="K53" s="16" t="n">
        <x:f>IFERROR(J53/H53,0)</x:f>
        <x:v>-0.04680038204393505</x:v>
      </x:c>
      <x:c r="L53" s="14" t="str">
        <x:f>IF(J53&gt;0,"Provisional positive contribution","Not viable")</x:f>
        <x:v>Not viable</x:v>
      </x:c>
    </x:row>
    <x:row r="54">
      <x:c r="A54" s="14" t="str">
        <x:v>300gsm Oversized Cotton</x:v>
      </x:c>
      <x:c r="B54" s="14" t="n">
        <x:v>10</x:v>
      </x:c>
      <x:c r="C54" s="15" t="n">
        <x:v>749</x:v>
      </x:c>
      <x:c r="D54" s="15" t="n">
        <x:v>349</x:v>
      </x:c>
      <x:c r="E54" s="16" t="n">
        <x:v>0.3</x:v>
      </x:c>
      <x:c r="F54" s="15" t="n">
        <x:f>INDEX('Inputs'!$D$4:$D$6,MATCH(A54,'Inputs'!$A$4:$A$6,0))</x:f>
        <x:v>189</x:v>
      </x:c>
      <x:c r="G54" s="15" t="n">
        <x:f>INDEX('Inputs'!$E$4:$E$6,MATCH(A54,'Inputs'!$A$4:$A$6,0))</x:f>
        <x:v>85</x:v>
      </x:c>
      <x:c r="H54" s="15" t="n">
        <x:f>D54*(1-E54)</x:f>
        <x:v>244.29999999999998</x:v>
      </x:c>
      <x:c r="I54" s="15" t="n">
        <x:f>F54+G54</x:f>
        <x:v>274</x:v>
      </x:c>
      <x:c r="J54" s="15" t="n">
        <x:f>H54-I54</x:f>
        <x:v>-29.700000000000017</x:v>
      </x:c>
      <x:c r="K54" s="16" t="n">
        <x:f>IFERROR(J54/H54,0)</x:f>
        <x:v>-0.1215718379042162</x:v>
      </x:c>
      <x:c r="L54" s="14" t="str">
        <x:f>IF(J54&gt;0,"Provisional positive contribution","Not viable")</x:f>
        <x:v>Not viable</x:v>
      </x:c>
    </x:row>
    <x:row r="55">
      <x:c r="A55" s="14" t="str">
        <x:v>300gsm Oversized Cotton</x:v>
      </x:c>
      <x:c r="B55" s="14" t="n">
        <x:v>10</x:v>
      </x:c>
      <x:c r="C55" s="15" t="n">
        <x:v>749</x:v>
      </x:c>
      <x:c r="D55" s="15" t="n">
        <x:v>349</x:v>
      </x:c>
      <x:c r="E55" s="16" t="n">
        <x:v>0.35</x:v>
      </x:c>
      <x:c r="F55" s="15" t="n">
        <x:f>INDEX('Inputs'!$D$4:$D$6,MATCH(A55,'Inputs'!$A$4:$A$6,0))</x:f>
        <x:v>189</x:v>
      </x:c>
      <x:c r="G55" s="15" t="n">
        <x:f>INDEX('Inputs'!$E$4:$E$6,MATCH(A55,'Inputs'!$A$4:$A$6,0))</x:f>
        <x:v>85</x:v>
      </x:c>
      <x:c r="H55" s="15" t="n">
        <x:f>D55*(1-E55)</x:f>
        <x:v>226.85</x:v>
      </x:c>
      <x:c r="I55" s="15" t="n">
        <x:f>F55+G55</x:f>
        <x:v>274</x:v>
      </x:c>
      <x:c r="J55" s="15" t="n">
        <x:f>H55-I55</x:f>
        <x:v>-47.150000000000006</x:v>
      </x:c>
      <x:c r="K55" s="16" t="n">
        <x:f>IFERROR(J55/H55,0)</x:f>
        <x:v>-0.20784659466607894</x:v>
      </x:c>
      <x:c r="L55" s="14" t="str">
        <x:f>IF(J55&gt;0,"Provisional positive contribution","Not viable")</x:f>
        <x:v>Not viable</x:v>
      </x:c>
    </x:row>
    <x:row r="56">
      <x:c r="A56" s="14" t="str">
        <x:v>300gsm Oversized Cotton</x:v>
      </x:c>
      <x:c r="B56" s="14" t="n">
        <x:v>10</x:v>
      </x:c>
      <x:c r="C56" s="15" t="n">
        <x:v>749</x:v>
      </x:c>
      <x:c r="D56" s="15" t="n">
        <x:v>399</x:v>
      </x:c>
      <x:c r="E56" s="16" t="n">
        <x:v>0.2</x:v>
      </x:c>
      <x:c r="F56" s="15" t="n">
        <x:f>INDEX('Inputs'!$D$4:$D$6,MATCH(A56,'Inputs'!$A$4:$A$6,0))</x:f>
        <x:v>189</x:v>
      </x:c>
      <x:c r="G56" s="15" t="n">
        <x:f>INDEX('Inputs'!$E$4:$E$6,MATCH(A56,'Inputs'!$A$4:$A$6,0))</x:f>
        <x:v>85</x:v>
      </x:c>
      <x:c r="H56" s="15" t="n">
        <x:f>D56*(1-E56)</x:f>
        <x:v>319.20000000000005</x:v>
      </x:c>
      <x:c r="I56" s="15" t="n">
        <x:f>F56+G56</x:f>
        <x:v>274</x:v>
      </x:c>
      <x:c r="J56" s="15" t="n">
        <x:f>H56-I56</x:f>
        <x:v>45.200000000000045</x:v>
      </x:c>
      <x:c r="K56" s="16" t="n">
        <x:f>IFERROR(J56/H56,0)</x:f>
        <x:v>0.1416040100250628</x:v>
      </x:c>
      <x:c r="L56" s="14" t="str">
        <x:f>IF(J56&gt;0,"Provisional positive contribution","Not viable")</x:f>
        <x:v>Provisional positive contribution</x:v>
      </x:c>
    </x:row>
    <x:row r="57">
      <x:c r="A57" s="14" t="str">
        <x:v>300gsm Oversized Cotton</x:v>
      </x:c>
      <x:c r="B57" s="14" t="n">
        <x:v>10</x:v>
      </x:c>
      <x:c r="C57" s="15" t="n">
        <x:v>749</x:v>
      </x:c>
      <x:c r="D57" s="15" t="n">
        <x:v>399</x:v>
      </x:c>
      <x:c r="E57" s="16" t="n">
        <x:v>0.25</x:v>
      </x:c>
      <x:c r="F57" s="15" t="n">
        <x:f>INDEX('Inputs'!$D$4:$D$6,MATCH(A57,'Inputs'!$A$4:$A$6,0))</x:f>
        <x:v>189</x:v>
      </x:c>
      <x:c r="G57" s="15" t="n">
        <x:f>INDEX('Inputs'!$E$4:$E$6,MATCH(A57,'Inputs'!$A$4:$A$6,0))</x:f>
        <x:v>85</x:v>
      </x:c>
      <x:c r="H57" s="15" t="n">
        <x:f>D57*(1-E57)</x:f>
        <x:v>299.25</x:v>
      </x:c>
      <x:c r="I57" s="15" t="n">
        <x:f>F57+G57</x:f>
        <x:v>274</x:v>
      </x:c>
      <x:c r="J57" s="15" t="n">
        <x:f>H57-I57</x:f>
        <x:v>25.25</x:v>
      </x:c>
      <x:c r="K57" s="16" t="n">
        <x:f>IFERROR(J57/H57,0)</x:f>
        <x:v>0.08437761069340016</x:v>
      </x:c>
      <x:c r="L57" s="14" t="str">
        <x:f>IF(J57&gt;0,"Provisional positive contribution","Not viable")</x:f>
        <x:v>Provisional positive contribution</x:v>
      </x:c>
    </x:row>
    <x:row r="58">
      <x:c r="A58" s="14" t="str">
        <x:v>300gsm Oversized Cotton</x:v>
      </x:c>
      <x:c r="B58" s="14" t="n">
        <x:v>10</x:v>
      </x:c>
      <x:c r="C58" s="15" t="n">
        <x:v>749</x:v>
      </x:c>
      <x:c r="D58" s="15" t="n">
        <x:v>399</x:v>
      </x:c>
      <x:c r="E58" s="16" t="n">
        <x:v>0.3</x:v>
      </x:c>
      <x:c r="F58" s="15" t="n">
        <x:f>INDEX('Inputs'!$D$4:$D$6,MATCH(A58,'Inputs'!$A$4:$A$6,0))</x:f>
        <x:v>189</x:v>
      </x:c>
      <x:c r="G58" s="15" t="n">
        <x:f>INDEX('Inputs'!$E$4:$E$6,MATCH(A58,'Inputs'!$A$4:$A$6,0))</x:f>
        <x:v>85</x:v>
      </x:c>
      <x:c r="H58" s="15" t="n">
        <x:f>D58*(1-E58)</x:f>
        <x:v>279.29999999999995</x:v>
      </x:c>
      <x:c r="I58" s="15" t="n">
        <x:f>F58+G58</x:f>
        <x:v>274</x:v>
      </x:c>
      <x:c r="J58" s="15" t="n">
        <x:f>H58-I58</x:f>
        <x:v>5.2999999999999545</x:v>
      </x:c>
      <x:c r="K58" s="16" t="n">
        <x:f>IFERROR(J58/H58,0)</x:f>
        <x:v>0.018976011457214306</x:v>
      </x:c>
      <x:c r="L58" s="14" t="str">
        <x:f>IF(J58&gt;0,"Provisional positive contribution","Not viable")</x:f>
        <x:v>Provisional positive contribution</x:v>
      </x:c>
    </x:row>
    <x:row r="59">
      <x:c r="A59" s="14" t="str">
        <x:v>300gsm Oversized Cotton</x:v>
      </x:c>
      <x:c r="B59" s="14" t="n">
        <x:v>10</x:v>
      </x:c>
      <x:c r="C59" s="15" t="n">
        <x:v>749</x:v>
      </x:c>
      <x:c r="D59" s="15" t="n">
        <x:v>399</x:v>
      </x:c>
      <x:c r="E59" s="16" t="n">
        <x:v>0.35</x:v>
      </x:c>
      <x:c r="F59" s="15" t="n">
        <x:f>INDEX('Inputs'!$D$4:$D$6,MATCH(A59,'Inputs'!$A$4:$A$6,0))</x:f>
        <x:v>189</x:v>
      </x:c>
      <x:c r="G59" s="15" t="n">
        <x:f>INDEX('Inputs'!$E$4:$E$6,MATCH(A59,'Inputs'!$A$4:$A$6,0))</x:f>
        <x:v>85</x:v>
      </x:c>
      <x:c r="H59" s="15" t="n">
        <x:f>D59*(1-E59)</x:f>
        <x:v>259.35</x:v>
      </x:c>
      <x:c r="I59" s="15" t="n">
        <x:f>F59+G59</x:f>
        <x:v>274</x:v>
      </x:c>
      <x:c r="J59" s="15" t="n">
        <x:f>H59-I59</x:f>
        <x:v>-14.649999999999977</x:v>
      </x:c>
      <x:c r="K59" s="16" t="n">
        <x:f>IFERROR(J59/H59,0)</x:f>
        <x:v>-0.05648737227684587</x:v>
      </x:c>
      <x:c r="L59" s="14" t="str">
        <x:f>IF(J59&gt;0,"Provisional positive contribution","Not viable")</x:f>
        <x:v>Not viable</x:v>
      </x:c>
    </x:row>
    <x:row r="60">
      <x:c r="A60" s="14" t="str">
        <x:v>300gsm Oversized Cotton</x:v>
      </x:c>
      <x:c r="B60" s="14" t="n">
        <x:v>10</x:v>
      </x:c>
      <x:c r="C60" s="15" t="n">
        <x:v>749</x:v>
      </x:c>
      <x:c r="D60" s="15" t="n">
        <x:v>449</x:v>
      </x:c>
      <x:c r="E60" s="16" t="n">
        <x:v>0.2</x:v>
      </x:c>
      <x:c r="F60" s="15" t="n">
        <x:f>INDEX('Inputs'!$D$4:$D$6,MATCH(A60,'Inputs'!$A$4:$A$6,0))</x:f>
        <x:v>189</x:v>
      </x:c>
      <x:c r="G60" s="15" t="n">
        <x:f>INDEX('Inputs'!$E$4:$E$6,MATCH(A60,'Inputs'!$A$4:$A$6,0))</x:f>
        <x:v>85</x:v>
      </x:c>
      <x:c r="H60" s="15" t="n">
        <x:f>D60*(1-E60)</x:f>
        <x:v>359.20000000000005</x:v>
      </x:c>
      <x:c r="I60" s="15" t="n">
        <x:f>F60+G60</x:f>
        <x:v>274</x:v>
      </x:c>
      <x:c r="J60" s="15" t="n">
        <x:f>H60-I60</x:f>
        <x:v>85.20000000000005</x:v>
      </x:c>
      <x:c r="K60" s="16" t="n">
        <x:f>IFERROR(J60/H60,0)</x:f>
        <x:v>0.23719376391982191</x:v>
      </x:c>
      <x:c r="L60" s="14" t="str">
        <x:f>IF(J60&gt;0,"Provisional positive contribution","Not viable")</x:f>
        <x:v>Provisional positive contribution</x:v>
      </x:c>
    </x:row>
    <x:row r="61">
      <x:c r="A61" s="14" t="str">
        <x:v>300gsm Oversized Cotton</x:v>
      </x:c>
      <x:c r="B61" s="14" t="n">
        <x:v>10</x:v>
      </x:c>
      <x:c r="C61" s="15" t="n">
        <x:v>749</x:v>
      </x:c>
      <x:c r="D61" s="15" t="n">
        <x:v>449</x:v>
      </x:c>
      <x:c r="E61" s="16" t="n">
        <x:v>0.25</x:v>
      </x:c>
      <x:c r="F61" s="15" t="n">
        <x:f>INDEX('Inputs'!$D$4:$D$6,MATCH(A61,'Inputs'!$A$4:$A$6,0))</x:f>
        <x:v>189</x:v>
      </x:c>
      <x:c r="G61" s="15" t="n">
        <x:f>INDEX('Inputs'!$E$4:$E$6,MATCH(A61,'Inputs'!$A$4:$A$6,0))</x:f>
        <x:v>85</x:v>
      </x:c>
      <x:c r="H61" s="15" t="n">
        <x:f>D61*(1-E61)</x:f>
        <x:v>336.75</x:v>
      </x:c>
      <x:c r="I61" s="15" t="n">
        <x:f>F61+G61</x:f>
        <x:v>274</x:v>
      </x:c>
      <x:c r="J61" s="15" t="n">
        <x:f>H61-I61</x:f>
        <x:v>62.75</x:v>
      </x:c>
      <x:c r="K61" s="16" t="n">
        <x:f>IFERROR(J61/H61,0)</x:f>
        <x:v>0.18634001484780996</x:v>
      </x:c>
      <x:c r="L61" s="14" t="str">
        <x:f>IF(J61&gt;0,"Provisional positive contribution","Not viable")</x:f>
        <x:v>Provisional positive contribution</x:v>
      </x:c>
    </x:row>
    <x:row r="62">
      <x:c r="A62" s="14" t="str">
        <x:v>300gsm Oversized Cotton</x:v>
      </x:c>
      <x:c r="B62" s="14" t="n">
        <x:v>10</x:v>
      </x:c>
      <x:c r="C62" s="15" t="n">
        <x:v>749</x:v>
      </x:c>
      <x:c r="D62" s="15" t="n">
        <x:v>449</x:v>
      </x:c>
      <x:c r="E62" s="16" t="n">
        <x:v>0.3</x:v>
      </x:c>
      <x:c r="F62" s="15" t="n">
        <x:f>INDEX('Inputs'!$D$4:$D$6,MATCH(A62,'Inputs'!$A$4:$A$6,0))</x:f>
        <x:v>189</x:v>
      </x:c>
      <x:c r="G62" s="15" t="n">
        <x:f>INDEX('Inputs'!$E$4:$E$6,MATCH(A62,'Inputs'!$A$4:$A$6,0))</x:f>
        <x:v>85</x:v>
      </x:c>
      <x:c r="H62" s="15" t="n">
        <x:f>D62*(1-E62)</x:f>
        <x:v>314.29999999999995</x:v>
      </x:c>
      <x:c r="I62" s="15" t="n">
        <x:f>F62+G62</x:f>
        <x:v>274</x:v>
      </x:c>
      <x:c r="J62" s="15" t="n">
        <x:f>H62-I62</x:f>
        <x:v>40.299999999999955</x:v>
      </x:c>
      <x:c r="K62" s="16" t="n">
        <x:f>IFERROR(J62/H62,0)</x:f>
        <x:v>0.12822144447979625</x:v>
      </x:c>
      <x:c r="L62" s="14" t="str">
        <x:f>IF(J62&gt;0,"Provisional positive contribution","Not viable")</x:f>
        <x:v>Provisional positive contribution</x:v>
      </x:c>
    </x:row>
    <x:row r="63">
      <x:c r="A63" s="14" t="str">
        <x:v>300gsm Oversized Cotton</x:v>
      </x:c>
      <x:c r="B63" s="14" t="n">
        <x:v>10</x:v>
      </x:c>
      <x:c r="C63" s="15" t="n">
        <x:v>749</x:v>
      </x:c>
      <x:c r="D63" s="15" t="n">
        <x:v>449</x:v>
      </x:c>
      <x:c r="E63" s="16" t="n">
        <x:v>0.35</x:v>
      </x:c>
      <x:c r="F63" s="15" t="n">
        <x:f>INDEX('Inputs'!$D$4:$D$6,MATCH(A63,'Inputs'!$A$4:$A$6,0))</x:f>
        <x:v>189</x:v>
      </x:c>
      <x:c r="G63" s="15" t="n">
        <x:f>INDEX('Inputs'!$E$4:$E$6,MATCH(A63,'Inputs'!$A$4:$A$6,0))</x:f>
        <x:v>85</x:v>
      </x:c>
      <x:c r="H63" s="15" t="n">
        <x:f>D63*(1-E63)</x:f>
        <x:v>291.85</x:v>
      </x:c>
      <x:c r="I63" s="15" t="n">
        <x:f>F63+G63</x:f>
        <x:v>274</x:v>
      </x:c>
      <x:c r="J63" s="15" t="n">
        <x:f>H63-I63</x:f>
        <x:v>17.850000000000023</x:v>
      </x:c>
      <x:c r="K63" s="16" t="n">
        <x:f>IFERROR(J63/H63,0)</x:f>
        <x:v>0.06116155559362694</x:v>
      </x:c>
      <x:c r="L63" s="14" t="str">
        <x:f>IF(J63&gt;0,"Provisional positive contribution","Not viable")</x:f>
        <x:v>Provisional positive contribution</x:v>
      </x:c>
    </x:row>
    <x:row r="64">
      <x:c r="A64" s="14" t="str">
        <x:v>300gsm Oversized Cotton</x:v>
      </x:c>
      <x:c r="B64" s="14" t="n">
        <x:v>10</x:v>
      </x:c>
      <x:c r="C64" s="15" t="n">
        <x:v>749</x:v>
      </x:c>
      <x:c r="D64" s="15" t="n">
        <x:v>499</x:v>
      </x:c>
      <x:c r="E64" s="16" t="n">
        <x:v>0.2</x:v>
      </x:c>
      <x:c r="F64" s="15" t="n">
        <x:f>INDEX('Inputs'!$D$4:$D$6,MATCH(A64,'Inputs'!$A$4:$A$6,0))</x:f>
        <x:v>189</x:v>
      </x:c>
      <x:c r="G64" s="15" t="n">
        <x:f>INDEX('Inputs'!$E$4:$E$6,MATCH(A64,'Inputs'!$A$4:$A$6,0))</x:f>
        <x:v>85</x:v>
      </x:c>
      <x:c r="H64" s="15" t="n">
        <x:f>D64*(1-E64)</x:f>
        <x:v>399.20000000000005</x:v>
      </x:c>
      <x:c r="I64" s="15" t="n">
        <x:f>F64+G64</x:f>
        <x:v>274</x:v>
      </x:c>
      <x:c r="J64" s="15" t="n">
        <x:f>H64-I64</x:f>
        <x:v>125.20000000000005</x:v>
      </x:c>
      <x:c r="K64" s="16" t="n">
        <x:f>IFERROR(J64/H64,0)</x:f>
        <x:v>0.3136272545090181</x:v>
      </x:c>
      <x:c r="L64" s="14" t="str">
        <x:f>IF(J64&gt;0,"Provisional positive contribution","Not viable")</x:f>
        <x:v>Provisional positive contribution</x:v>
      </x:c>
    </x:row>
    <x:row r="65">
      <x:c r="A65" s="14" t="str">
        <x:v>300gsm Oversized Cotton</x:v>
      </x:c>
      <x:c r="B65" s="14" t="n">
        <x:v>10</x:v>
      </x:c>
      <x:c r="C65" s="15" t="n">
        <x:v>749</x:v>
      </x:c>
      <x:c r="D65" s="15" t="n">
        <x:v>499</x:v>
      </x:c>
      <x:c r="E65" s="16" t="n">
        <x:v>0.25</x:v>
      </x:c>
      <x:c r="F65" s="15" t="n">
        <x:f>INDEX('Inputs'!$D$4:$D$6,MATCH(A65,'Inputs'!$A$4:$A$6,0))</x:f>
        <x:v>189</x:v>
      </x:c>
      <x:c r="G65" s="15" t="n">
        <x:f>INDEX('Inputs'!$E$4:$E$6,MATCH(A65,'Inputs'!$A$4:$A$6,0))</x:f>
        <x:v>85</x:v>
      </x:c>
      <x:c r="H65" s="15" t="n">
        <x:f>D65*(1-E65)</x:f>
        <x:v>374.25</x:v>
      </x:c>
      <x:c r="I65" s="15" t="n">
        <x:f>F65+G65</x:f>
        <x:v>274</x:v>
      </x:c>
      <x:c r="J65" s="15" t="n">
        <x:f>H65-I65</x:f>
        <x:v>100.25</x:v>
      </x:c>
      <x:c r="K65" s="16" t="n">
        <x:f>IFERROR(J65/H65,0)</x:f>
        <x:v>0.2678690714762859</x:v>
      </x:c>
      <x:c r="L65" s="14" t="str">
        <x:f>IF(J65&gt;0,"Provisional positive contribution","Not viable")</x:f>
        <x:v>Provisional positive contribution</x:v>
      </x:c>
    </x:row>
    <x:row r="66">
      <x:c r="A66" s="14" t="str">
        <x:v>300gsm Oversized Cotton</x:v>
      </x:c>
      <x:c r="B66" s="14" t="n">
        <x:v>10</x:v>
      </x:c>
      <x:c r="C66" s="15" t="n">
        <x:v>749</x:v>
      </x:c>
      <x:c r="D66" s="15" t="n">
        <x:v>499</x:v>
      </x:c>
      <x:c r="E66" s="16" t="n">
        <x:v>0.3</x:v>
      </x:c>
      <x:c r="F66" s="15" t="n">
        <x:f>INDEX('Inputs'!$D$4:$D$6,MATCH(A66,'Inputs'!$A$4:$A$6,0))</x:f>
        <x:v>189</x:v>
      </x:c>
      <x:c r="G66" s="15" t="n">
        <x:f>INDEX('Inputs'!$E$4:$E$6,MATCH(A66,'Inputs'!$A$4:$A$6,0))</x:f>
        <x:v>85</x:v>
      </x:c>
      <x:c r="H66" s="15" t="n">
        <x:f>D66*(1-E66)</x:f>
        <x:v>349.29999999999995</x:v>
      </x:c>
      <x:c r="I66" s="15" t="n">
        <x:f>F66+G66</x:f>
        <x:v>274</x:v>
      </x:c>
      <x:c r="J66" s="15" t="n">
        <x:f>H66-I66</x:f>
        <x:v>75.29999999999995</x:v>
      </x:c>
      <x:c r="K66" s="16" t="n">
        <x:f>IFERROR(J66/H66,0)</x:f>
        <x:v>0.21557400515316336</x:v>
      </x:c>
      <x:c r="L66" s="14" t="str">
        <x:f>IF(J66&gt;0,"Provisional positive contribution","Not viable")</x:f>
        <x:v>Provisional positive contribution</x:v>
      </x:c>
    </x:row>
    <x:row r="67">
      <x:c r="A67" s="14" t="str">
        <x:v>300gsm Oversized Cotton</x:v>
      </x:c>
      <x:c r="B67" s="14" t="n">
        <x:v>10</x:v>
      </x:c>
      <x:c r="C67" s="15" t="n">
        <x:v>749</x:v>
      </x:c>
      <x:c r="D67" s="15" t="n">
        <x:v>499</x:v>
      </x:c>
      <x:c r="E67" s="16" t="n">
        <x:v>0.35</x:v>
      </x:c>
      <x:c r="F67" s="15" t="n">
        <x:f>INDEX('Inputs'!$D$4:$D$6,MATCH(A67,'Inputs'!$A$4:$A$6,0))</x:f>
        <x:v>189</x:v>
      </x:c>
      <x:c r="G67" s="15" t="n">
        <x:f>INDEX('Inputs'!$E$4:$E$6,MATCH(A67,'Inputs'!$A$4:$A$6,0))</x:f>
        <x:v>85</x:v>
      </x:c>
      <x:c r="H67" s="15" t="n">
        <x:f>D67*(1-E67)</x:f>
        <x:v>324.35</x:v>
      </x:c>
      <x:c r="I67" s="15" t="n">
        <x:f>F67+G67</x:f>
        <x:v>274</x:v>
      </x:c>
      <x:c r="J67" s="15" t="n">
        <x:f>H67-I67</x:f>
        <x:v>50.35000000000002</x:v>
      </x:c>
      <x:c r="K67" s="16" t="n">
        <x:f>IFERROR(J67/H67,0)</x:f>
        <x:v>0.15523354401109918</x:v>
      </x:c>
      <x:c r="L67" s="14" t="str">
        <x:f>IF(J67&gt;0,"Provisional positive contribution","Not viable")</x:f>
        <x:v>Provisional positive contribution</x:v>
      </x:c>
    </x:row>
    <x:row r="68">
      <x:c r="A68" s="14" t="str">
        <x:v>300gsm Oversized Cotton</x:v>
      </x:c>
      <x:c r="B68" s="14" t="n">
        <x:v>25</x:v>
      </x:c>
      <x:c r="C68" s="15" t="n">
        <x:v>599</x:v>
      </x:c>
      <x:c r="D68" s="15" t="n">
        <x:v>349</x:v>
      </x:c>
      <x:c r="E68" s="16" t="n">
        <x:v>0.2</x:v>
      </x:c>
      <x:c r="F68" s="15" t="n">
        <x:f>INDEX('Inputs'!$D$4:$D$6,MATCH(A68,'Inputs'!$A$4:$A$6,0))</x:f>
        <x:v>189</x:v>
      </x:c>
      <x:c r="G68" s="15" t="n">
        <x:f>INDEX('Inputs'!$E$4:$E$6,MATCH(A68,'Inputs'!$A$4:$A$6,0))</x:f>
        <x:v>85</x:v>
      </x:c>
      <x:c r="H68" s="15" t="n">
        <x:f>D68*(1-E68)</x:f>
        <x:v>279.2</x:v>
      </x:c>
      <x:c r="I68" s="15" t="n">
        <x:f>F68+G68</x:f>
        <x:v>274</x:v>
      </x:c>
      <x:c r="J68" s="15" t="n">
        <x:f>H68-I68</x:f>
        <x:v>5.199999999999989</x:v>
      </x:c>
      <x:c r="K68" s="16" t="n">
        <x:f>IFERROR(J68/H68,0)</x:f>
        <x:v>0.018624641833810848</x:v>
      </x:c>
      <x:c r="L68" s="14" t="str">
        <x:f>IF(J68&gt;0,"Provisional positive contribution","Not viable")</x:f>
        <x:v>Provisional positive contribution</x:v>
      </x:c>
    </x:row>
    <x:row r="69">
      <x:c r="A69" s="14" t="str">
        <x:v>300gsm Oversized Cotton</x:v>
      </x:c>
      <x:c r="B69" s="14" t="n">
        <x:v>25</x:v>
      </x:c>
      <x:c r="C69" s="15" t="n">
        <x:v>599</x:v>
      </x:c>
      <x:c r="D69" s="15" t="n">
        <x:v>349</x:v>
      </x:c>
      <x:c r="E69" s="16" t="n">
        <x:v>0.25</x:v>
      </x:c>
      <x:c r="F69" s="15" t="n">
        <x:f>INDEX('Inputs'!$D$4:$D$6,MATCH(A69,'Inputs'!$A$4:$A$6,0))</x:f>
        <x:v>189</x:v>
      </x:c>
      <x:c r="G69" s="15" t="n">
        <x:f>INDEX('Inputs'!$E$4:$E$6,MATCH(A69,'Inputs'!$A$4:$A$6,0))</x:f>
        <x:v>85</x:v>
      </x:c>
      <x:c r="H69" s="15" t="n">
        <x:f>D69*(1-E69)</x:f>
        <x:v>261.75</x:v>
      </x:c>
      <x:c r="I69" s="15" t="n">
        <x:f>F69+G69</x:f>
        <x:v>274</x:v>
      </x:c>
      <x:c r="J69" s="15" t="n">
        <x:f>H69-I69</x:f>
        <x:v>-12.25</x:v>
      </x:c>
      <x:c r="K69" s="16" t="n">
        <x:f>IFERROR(J69/H69,0)</x:f>
        <x:v>-0.04680038204393505</x:v>
      </x:c>
      <x:c r="L69" s="14" t="str">
        <x:f>IF(J69&gt;0,"Provisional positive contribution","Not viable")</x:f>
        <x:v>Not viable</x:v>
      </x:c>
    </x:row>
    <x:row r="70">
      <x:c r="A70" s="14" t="str">
        <x:v>300gsm Oversized Cotton</x:v>
      </x:c>
      <x:c r="B70" s="14" t="n">
        <x:v>25</x:v>
      </x:c>
      <x:c r="C70" s="15" t="n">
        <x:v>599</x:v>
      </x:c>
      <x:c r="D70" s="15" t="n">
        <x:v>349</x:v>
      </x:c>
      <x:c r="E70" s="16" t="n">
        <x:v>0.3</x:v>
      </x:c>
      <x:c r="F70" s="15" t="n">
        <x:f>INDEX('Inputs'!$D$4:$D$6,MATCH(A70,'Inputs'!$A$4:$A$6,0))</x:f>
        <x:v>189</x:v>
      </x:c>
      <x:c r="G70" s="15" t="n">
        <x:f>INDEX('Inputs'!$E$4:$E$6,MATCH(A70,'Inputs'!$A$4:$A$6,0))</x:f>
        <x:v>85</x:v>
      </x:c>
      <x:c r="H70" s="15" t="n">
        <x:f>D70*(1-E70)</x:f>
        <x:v>244.29999999999998</x:v>
      </x:c>
      <x:c r="I70" s="15" t="n">
        <x:f>F70+G70</x:f>
        <x:v>274</x:v>
      </x:c>
      <x:c r="J70" s="15" t="n">
        <x:f>H70-I70</x:f>
        <x:v>-29.700000000000017</x:v>
      </x:c>
      <x:c r="K70" s="16" t="n">
        <x:f>IFERROR(J70/H70,0)</x:f>
        <x:v>-0.1215718379042162</x:v>
      </x:c>
      <x:c r="L70" s="14" t="str">
        <x:f>IF(J70&gt;0,"Provisional positive contribution","Not viable")</x:f>
        <x:v>Not viable</x:v>
      </x:c>
    </x:row>
    <x:row r="71">
      <x:c r="A71" s="14" t="str">
        <x:v>300gsm Oversized Cotton</x:v>
      </x:c>
      <x:c r="B71" s="14" t="n">
        <x:v>25</x:v>
      </x:c>
      <x:c r="C71" s="15" t="n">
        <x:v>599</x:v>
      </x:c>
      <x:c r="D71" s="15" t="n">
        <x:v>349</x:v>
      </x:c>
      <x:c r="E71" s="16" t="n">
        <x:v>0.35</x:v>
      </x:c>
      <x:c r="F71" s="15" t="n">
        <x:f>INDEX('Inputs'!$D$4:$D$6,MATCH(A71,'Inputs'!$A$4:$A$6,0))</x:f>
        <x:v>189</x:v>
      </x:c>
      <x:c r="G71" s="15" t="n">
        <x:f>INDEX('Inputs'!$E$4:$E$6,MATCH(A71,'Inputs'!$A$4:$A$6,0))</x:f>
        <x:v>85</x:v>
      </x:c>
      <x:c r="H71" s="15" t="n">
        <x:f>D71*(1-E71)</x:f>
        <x:v>226.85</x:v>
      </x:c>
      <x:c r="I71" s="15" t="n">
        <x:f>F71+G71</x:f>
        <x:v>274</x:v>
      </x:c>
      <x:c r="J71" s="15" t="n">
        <x:f>H71-I71</x:f>
        <x:v>-47.150000000000006</x:v>
      </x:c>
      <x:c r="K71" s="16" t="n">
        <x:f>IFERROR(J71/H71,0)</x:f>
        <x:v>-0.20784659466607894</x:v>
      </x:c>
      <x:c r="L71" s="14" t="str">
        <x:f>IF(J71&gt;0,"Provisional positive contribution","Not viable")</x:f>
        <x:v>Not viable</x:v>
      </x:c>
    </x:row>
    <x:row r="72">
      <x:c r="A72" s="14" t="str">
        <x:v>300gsm Oversized Cotton</x:v>
      </x:c>
      <x:c r="B72" s="14" t="n">
        <x:v>25</x:v>
      </x:c>
      <x:c r="C72" s="15" t="n">
        <x:v>599</x:v>
      </x:c>
      <x:c r="D72" s="15" t="n">
        <x:v>399</x:v>
      </x:c>
      <x:c r="E72" s="16" t="n">
        <x:v>0.2</x:v>
      </x:c>
      <x:c r="F72" s="15" t="n">
        <x:f>INDEX('Inputs'!$D$4:$D$6,MATCH(A72,'Inputs'!$A$4:$A$6,0))</x:f>
        <x:v>189</x:v>
      </x:c>
      <x:c r="G72" s="15" t="n">
        <x:f>INDEX('Inputs'!$E$4:$E$6,MATCH(A72,'Inputs'!$A$4:$A$6,0))</x:f>
        <x:v>85</x:v>
      </x:c>
      <x:c r="H72" s="15" t="n">
        <x:f>D72*(1-E72)</x:f>
        <x:v>319.20000000000005</x:v>
      </x:c>
      <x:c r="I72" s="15" t="n">
        <x:f>F72+G72</x:f>
        <x:v>274</x:v>
      </x:c>
      <x:c r="J72" s="15" t="n">
        <x:f>H72-I72</x:f>
        <x:v>45.200000000000045</x:v>
      </x:c>
      <x:c r="K72" s="16" t="n">
        <x:f>IFERROR(J72/H72,0)</x:f>
        <x:v>0.1416040100250628</x:v>
      </x:c>
      <x:c r="L72" s="14" t="str">
        <x:f>IF(J72&gt;0,"Provisional positive contribution","Not viable")</x:f>
        <x:v>Provisional positive contribution</x:v>
      </x:c>
    </x:row>
    <x:row r="73">
      <x:c r="A73" s="14" t="str">
        <x:v>300gsm Oversized Cotton</x:v>
      </x:c>
      <x:c r="B73" s="14" t="n">
        <x:v>25</x:v>
      </x:c>
      <x:c r="C73" s="15" t="n">
        <x:v>599</x:v>
      </x:c>
      <x:c r="D73" s="15" t="n">
        <x:v>399</x:v>
      </x:c>
      <x:c r="E73" s="16" t="n">
        <x:v>0.25</x:v>
      </x:c>
      <x:c r="F73" s="15" t="n">
        <x:f>INDEX('Inputs'!$D$4:$D$6,MATCH(A73,'Inputs'!$A$4:$A$6,0))</x:f>
        <x:v>189</x:v>
      </x:c>
      <x:c r="G73" s="15" t="n">
        <x:f>INDEX('Inputs'!$E$4:$E$6,MATCH(A73,'Inputs'!$A$4:$A$6,0))</x:f>
        <x:v>85</x:v>
      </x:c>
      <x:c r="H73" s="15" t="n">
        <x:f>D73*(1-E73)</x:f>
        <x:v>299.25</x:v>
      </x:c>
      <x:c r="I73" s="15" t="n">
        <x:f>F73+G73</x:f>
        <x:v>274</x:v>
      </x:c>
      <x:c r="J73" s="15" t="n">
        <x:f>H73-I73</x:f>
        <x:v>25.25</x:v>
      </x:c>
      <x:c r="K73" s="16" t="n">
        <x:f>IFERROR(J73/H73,0)</x:f>
        <x:v>0.08437761069340016</x:v>
      </x:c>
      <x:c r="L73" s="14" t="str">
        <x:f>IF(J73&gt;0,"Provisional positive contribution","Not viable")</x:f>
        <x:v>Provisional positive contribution</x:v>
      </x:c>
    </x:row>
    <x:row r="74">
      <x:c r="A74" s="14" t="str">
        <x:v>300gsm Oversized Cotton</x:v>
      </x:c>
      <x:c r="B74" s="14" t="n">
        <x:v>25</x:v>
      </x:c>
      <x:c r="C74" s="15" t="n">
        <x:v>599</x:v>
      </x:c>
      <x:c r="D74" s="15" t="n">
        <x:v>399</x:v>
      </x:c>
      <x:c r="E74" s="16" t="n">
        <x:v>0.3</x:v>
      </x:c>
      <x:c r="F74" s="15" t="n">
        <x:f>INDEX('Inputs'!$D$4:$D$6,MATCH(A74,'Inputs'!$A$4:$A$6,0))</x:f>
        <x:v>189</x:v>
      </x:c>
      <x:c r="G74" s="15" t="n">
        <x:f>INDEX('Inputs'!$E$4:$E$6,MATCH(A74,'Inputs'!$A$4:$A$6,0))</x:f>
        <x:v>85</x:v>
      </x:c>
      <x:c r="H74" s="15" t="n">
        <x:f>D74*(1-E74)</x:f>
        <x:v>279.29999999999995</x:v>
      </x:c>
      <x:c r="I74" s="15" t="n">
        <x:f>F74+G74</x:f>
        <x:v>274</x:v>
      </x:c>
      <x:c r="J74" s="15" t="n">
        <x:f>H74-I74</x:f>
        <x:v>5.2999999999999545</x:v>
      </x:c>
      <x:c r="K74" s="16" t="n">
        <x:f>IFERROR(J74/H74,0)</x:f>
        <x:v>0.018976011457214306</x:v>
      </x:c>
      <x:c r="L74" s="14" t="str">
        <x:f>IF(J74&gt;0,"Provisional positive contribution","Not viable")</x:f>
        <x:v>Provisional positive contribution</x:v>
      </x:c>
    </x:row>
    <x:row r="75">
      <x:c r="A75" s="14" t="str">
        <x:v>300gsm Oversized Cotton</x:v>
      </x:c>
      <x:c r="B75" s="14" t="n">
        <x:v>25</x:v>
      </x:c>
      <x:c r="C75" s="15" t="n">
        <x:v>599</x:v>
      </x:c>
      <x:c r="D75" s="15" t="n">
        <x:v>399</x:v>
      </x:c>
      <x:c r="E75" s="16" t="n">
        <x:v>0.35</x:v>
      </x:c>
      <x:c r="F75" s="15" t="n">
        <x:f>INDEX('Inputs'!$D$4:$D$6,MATCH(A75,'Inputs'!$A$4:$A$6,0))</x:f>
        <x:v>189</x:v>
      </x:c>
      <x:c r="G75" s="15" t="n">
        <x:f>INDEX('Inputs'!$E$4:$E$6,MATCH(A75,'Inputs'!$A$4:$A$6,0))</x:f>
        <x:v>85</x:v>
      </x:c>
      <x:c r="H75" s="15" t="n">
        <x:f>D75*(1-E75)</x:f>
        <x:v>259.35</x:v>
      </x:c>
      <x:c r="I75" s="15" t="n">
        <x:f>F75+G75</x:f>
        <x:v>274</x:v>
      </x:c>
      <x:c r="J75" s="15" t="n">
        <x:f>H75-I75</x:f>
        <x:v>-14.649999999999977</x:v>
      </x:c>
      <x:c r="K75" s="16" t="n">
        <x:f>IFERROR(J75/H75,0)</x:f>
        <x:v>-0.05648737227684587</x:v>
      </x:c>
      <x:c r="L75" s="14" t="str">
        <x:f>IF(J75&gt;0,"Provisional positive contribution","Not viable")</x:f>
        <x:v>Not viable</x:v>
      </x:c>
    </x:row>
    <x:row r="76">
      <x:c r="A76" s="14" t="str">
        <x:v>300gsm Oversized Cotton</x:v>
      </x:c>
      <x:c r="B76" s="14" t="n">
        <x:v>25</x:v>
      </x:c>
      <x:c r="C76" s="15" t="n">
        <x:v>599</x:v>
      </x:c>
      <x:c r="D76" s="15" t="n">
        <x:v>449</x:v>
      </x:c>
      <x:c r="E76" s="16" t="n">
        <x:v>0.2</x:v>
      </x:c>
      <x:c r="F76" s="15" t="n">
        <x:f>INDEX('Inputs'!$D$4:$D$6,MATCH(A76,'Inputs'!$A$4:$A$6,0))</x:f>
        <x:v>189</x:v>
      </x:c>
      <x:c r="G76" s="15" t="n">
        <x:f>INDEX('Inputs'!$E$4:$E$6,MATCH(A76,'Inputs'!$A$4:$A$6,0))</x:f>
        <x:v>85</x:v>
      </x:c>
      <x:c r="H76" s="15" t="n">
        <x:f>D76*(1-E76)</x:f>
        <x:v>359.20000000000005</x:v>
      </x:c>
      <x:c r="I76" s="15" t="n">
        <x:f>F76+G76</x:f>
        <x:v>274</x:v>
      </x:c>
      <x:c r="J76" s="15" t="n">
        <x:f>H76-I76</x:f>
        <x:v>85.20000000000005</x:v>
      </x:c>
      <x:c r="K76" s="16" t="n">
        <x:f>IFERROR(J76/H76,0)</x:f>
        <x:v>0.23719376391982191</x:v>
      </x:c>
      <x:c r="L76" s="14" t="str">
        <x:f>IF(J76&gt;0,"Provisional positive contribution","Not viable")</x:f>
        <x:v>Provisional positive contribution</x:v>
      </x:c>
    </x:row>
    <x:row r="77">
      <x:c r="A77" s="14" t="str">
        <x:v>300gsm Oversized Cotton</x:v>
      </x:c>
      <x:c r="B77" s="14" t="n">
        <x:v>25</x:v>
      </x:c>
      <x:c r="C77" s="15" t="n">
        <x:v>599</x:v>
      </x:c>
      <x:c r="D77" s="15" t="n">
        <x:v>449</x:v>
      </x:c>
      <x:c r="E77" s="16" t="n">
        <x:v>0.25</x:v>
      </x:c>
      <x:c r="F77" s="15" t="n">
        <x:f>INDEX('Inputs'!$D$4:$D$6,MATCH(A77,'Inputs'!$A$4:$A$6,0))</x:f>
        <x:v>189</x:v>
      </x:c>
      <x:c r="G77" s="15" t="n">
        <x:f>INDEX('Inputs'!$E$4:$E$6,MATCH(A77,'Inputs'!$A$4:$A$6,0))</x:f>
        <x:v>85</x:v>
      </x:c>
      <x:c r="H77" s="15" t="n">
        <x:f>D77*(1-E77)</x:f>
        <x:v>336.75</x:v>
      </x:c>
      <x:c r="I77" s="15" t="n">
        <x:f>F77+G77</x:f>
        <x:v>274</x:v>
      </x:c>
      <x:c r="J77" s="15" t="n">
        <x:f>H77-I77</x:f>
        <x:v>62.75</x:v>
      </x:c>
      <x:c r="K77" s="16" t="n">
        <x:f>IFERROR(J77/H77,0)</x:f>
        <x:v>0.18634001484780996</x:v>
      </x:c>
      <x:c r="L77" s="14" t="str">
        <x:f>IF(J77&gt;0,"Provisional positive contribution","Not viable")</x:f>
        <x:v>Provisional positive contribution</x:v>
      </x:c>
    </x:row>
    <x:row r="78">
      <x:c r="A78" s="14" t="str">
        <x:v>300gsm Oversized Cotton</x:v>
      </x:c>
      <x:c r="B78" s="14" t="n">
        <x:v>25</x:v>
      </x:c>
      <x:c r="C78" s="15" t="n">
        <x:v>599</x:v>
      </x:c>
      <x:c r="D78" s="15" t="n">
        <x:v>449</x:v>
      </x:c>
      <x:c r="E78" s="16" t="n">
        <x:v>0.3</x:v>
      </x:c>
      <x:c r="F78" s="15" t="n">
        <x:f>INDEX('Inputs'!$D$4:$D$6,MATCH(A78,'Inputs'!$A$4:$A$6,0))</x:f>
        <x:v>189</x:v>
      </x:c>
      <x:c r="G78" s="15" t="n">
        <x:f>INDEX('Inputs'!$E$4:$E$6,MATCH(A78,'Inputs'!$A$4:$A$6,0))</x:f>
        <x:v>85</x:v>
      </x:c>
      <x:c r="H78" s="15" t="n">
        <x:f>D78*(1-E78)</x:f>
        <x:v>314.29999999999995</x:v>
      </x:c>
      <x:c r="I78" s="15" t="n">
        <x:f>F78+G78</x:f>
        <x:v>274</x:v>
      </x:c>
      <x:c r="J78" s="15" t="n">
        <x:f>H78-I78</x:f>
        <x:v>40.299999999999955</x:v>
      </x:c>
      <x:c r="K78" s="16" t="n">
        <x:f>IFERROR(J78/H78,0)</x:f>
        <x:v>0.12822144447979625</x:v>
      </x:c>
      <x:c r="L78" s="14" t="str">
        <x:f>IF(J78&gt;0,"Provisional positive contribution","Not viable")</x:f>
        <x:v>Provisional positive contribution</x:v>
      </x:c>
    </x:row>
    <x:row r="79">
      <x:c r="A79" s="14" t="str">
        <x:v>300gsm Oversized Cotton</x:v>
      </x:c>
      <x:c r="B79" s="14" t="n">
        <x:v>25</x:v>
      </x:c>
      <x:c r="C79" s="15" t="n">
        <x:v>599</x:v>
      </x:c>
      <x:c r="D79" s="15" t="n">
        <x:v>449</x:v>
      </x:c>
      <x:c r="E79" s="16" t="n">
        <x:v>0.35</x:v>
      </x:c>
      <x:c r="F79" s="15" t="n">
        <x:f>INDEX('Inputs'!$D$4:$D$6,MATCH(A79,'Inputs'!$A$4:$A$6,0))</x:f>
        <x:v>189</x:v>
      </x:c>
      <x:c r="G79" s="15" t="n">
        <x:f>INDEX('Inputs'!$E$4:$E$6,MATCH(A79,'Inputs'!$A$4:$A$6,0))</x:f>
        <x:v>85</x:v>
      </x:c>
      <x:c r="H79" s="15" t="n">
        <x:f>D79*(1-E79)</x:f>
        <x:v>291.85</x:v>
      </x:c>
      <x:c r="I79" s="15" t="n">
        <x:f>F79+G79</x:f>
        <x:v>274</x:v>
      </x:c>
      <x:c r="J79" s="15" t="n">
        <x:f>H79-I79</x:f>
        <x:v>17.850000000000023</x:v>
      </x:c>
      <x:c r="K79" s="16" t="n">
        <x:f>IFERROR(J79/H79,0)</x:f>
        <x:v>0.06116155559362694</x:v>
      </x:c>
      <x:c r="L79" s="14" t="str">
        <x:f>IF(J79&gt;0,"Provisional positive contribution","Not viable")</x:f>
        <x:v>Provisional positive contribution</x:v>
      </x:c>
    </x:row>
    <x:row r="80">
      <x:c r="A80" s="14" t="str">
        <x:v>300gsm Oversized Cotton</x:v>
      </x:c>
      <x:c r="B80" s="14" t="n">
        <x:v>25</x:v>
      </x:c>
      <x:c r="C80" s="15" t="n">
        <x:v>599</x:v>
      </x:c>
      <x:c r="D80" s="15" t="n">
        <x:v>499</x:v>
      </x:c>
      <x:c r="E80" s="16" t="n">
        <x:v>0.2</x:v>
      </x:c>
      <x:c r="F80" s="15" t="n">
        <x:f>INDEX('Inputs'!$D$4:$D$6,MATCH(A80,'Inputs'!$A$4:$A$6,0))</x:f>
        <x:v>189</x:v>
      </x:c>
      <x:c r="G80" s="15" t="n">
        <x:f>INDEX('Inputs'!$E$4:$E$6,MATCH(A80,'Inputs'!$A$4:$A$6,0))</x:f>
        <x:v>85</x:v>
      </x:c>
      <x:c r="H80" s="15" t="n">
        <x:f>D80*(1-E80)</x:f>
        <x:v>399.20000000000005</x:v>
      </x:c>
      <x:c r="I80" s="15" t="n">
        <x:f>F80+G80</x:f>
        <x:v>274</x:v>
      </x:c>
      <x:c r="J80" s="15" t="n">
        <x:f>H80-I80</x:f>
        <x:v>125.20000000000005</x:v>
      </x:c>
      <x:c r="K80" s="16" t="n">
        <x:f>IFERROR(J80/H80,0)</x:f>
        <x:v>0.3136272545090181</x:v>
      </x:c>
      <x:c r="L80" s="14" t="str">
        <x:f>IF(J80&gt;0,"Provisional positive contribution","Not viable")</x:f>
        <x:v>Provisional positive contribution</x:v>
      </x:c>
    </x:row>
    <x:row r="81">
      <x:c r="A81" s="14" t="str">
        <x:v>300gsm Oversized Cotton</x:v>
      </x:c>
      <x:c r="B81" s="14" t="n">
        <x:v>25</x:v>
      </x:c>
      <x:c r="C81" s="15" t="n">
        <x:v>599</x:v>
      </x:c>
      <x:c r="D81" s="15" t="n">
        <x:v>499</x:v>
      </x:c>
      <x:c r="E81" s="16" t="n">
        <x:v>0.25</x:v>
      </x:c>
      <x:c r="F81" s="15" t="n">
        <x:f>INDEX('Inputs'!$D$4:$D$6,MATCH(A81,'Inputs'!$A$4:$A$6,0))</x:f>
        <x:v>189</x:v>
      </x:c>
      <x:c r="G81" s="15" t="n">
        <x:f>INDEX('Inputs'!$E$4:$E$6,MATCH(A81,'Inputs'!$A$4:$A$6,0))</x:f>
        <x:v>85</x:v>
      </x:c>
      <x:c r="H81" s="15" t="n">
        <x:f>D81*(1-E81)</x:f>
        <x:v>374.25</x:v>
      </x:c>
      <x:c r="I81" s="15" t="n">
        <x:f>F81+G81</x:f>
        <x:v>274</x:v>
      </x:c>
      <x:c r="J81" s="15" t="n">
        <x:f>H81-I81</x:f>
        <x:v>100.25</x:v>
      </x:c>
      <x:c r="K81" s="16" t="n">
        <x:f>IFERROR(J81/H81,0)</x:f>
        <x:v>0.2678690714762859</x:v>
      </x:c>
      <x:c r="L81" s="14" t="str">
        <x:f>IF(J81&gt;0,"Provisional positive contribution","Not viable")</x:f>
        <x:v>Provisional positive contribution</x:v>
      </x:c>
    </x:row>
    <x:row r="82">
      <x:c r="A82" s="14" t="str">
        <x:v>300gsm Oversized Cotton</x:v>
      </x:c>
      <x:c r="B82" s="14" t="n">
        <x:v>25</x:v>
      </x:c>
      <x:c r="C82" s="15" t="n">
        <x:v>599</x:v>
      </x:c>
      <x:c r="D82" s="15" t="n">
        <x:v>499</x:v>
      </x:c>
      <x:c r="E82" s="16" t="n">
        <x:v>0.3</x:v>
      </x:c>
      <x:c r="F82" s="15" t="n">
        <x:f>INDEX('Inputs'!$D$4:$D$6,MATCH(A82,'Inputs'!$A$4:$A$6,0))</x:f>
        <x:v>189</x:v>
      </x:c>
      <x:c r="G82" s="15" t="n">
        <x:f>INDEX('Inputs'!$E$4:$E$6,MATCH(A82,'Inputs'!$A$4:$A$6,0))</x:f>
        <x:v>85</x:v>
      </x:c>
      <x:c r="H82" s="15" t="n">
        <x:f>D82*(1-E82)</x:f>
        <x:v>349.29999999999995</x:v>
      </x:c>
      <x:c r="I82" s="15" t="n">
        <x:f>F82+G82</x:f>
        <x:v>274</x:v>
      </x:c>
      <x:c r="J82" s="15" t="n">
        <x:f>H82-I82</x:f>
        <x:v>75.29999999999995</x:v>
      </x:c>
      <x:c r="K82" s="16" t="n">
        <x:f>IFERROR(J82/H82,0)</x:f>
        <x:v>0.21557400515316336</x:v>
      </x:c>
      <x:c r="L82" s="14" t="str">
        <x:f>IF(J82&gt;0,"Provisional positive contribution","Not viable")</x:f>
        <x:v>Provisional positive contribution</x:v>
      </x:c>
    </x:row>
    <x:row r="83">
      <x:c r="A83" s="14" t="str">
        <x:v>300gsm Oversized Cotton</x:v>
      </x:c>
      <x:c r="B83" s="14" t="n">
        <x:v>25</x:v>
      </x:c>
      <x:c r="C83" s="15" t="n">
        <x:v>599</x:v>
      </x:c>
      <x:c r="D83" s="15" t="n">
        <x:v>499</x:v>
      </x:c>
      <x:c r="E83" s="16" t="n">
        <x:v>0.35</x:v>
      </x:c>
      <x:c r="F83" s="15" t="n">
        <x:f>INDEX('Inputs'!$D$4:$D$6,MATCH(A83,'Inputs'!$A$4:$A$6,0))</x:f>
        <x:v>189</x:v>
      </x:c>
      <x:c r="G83" s="15" t="n">
        <x:f>INDEX('Inputs'!$E$4:$E$6,MATCH(A83,'Inputs'!$A$4:$A$6,0))</x:f>
        <x:v>85</x:v>
      </x:c>
      <x:c r="H83" s="15" t="n">
        <x:f>D83*(1-E83)</x:f>
        <x:v>324.35</x:v>
      </x:c>
      <x:c r="I83" s="15" t="n">
        <x:f>F83+G83</x:f>
        <x:v>274</x:v>
      </x:c>
      <x:c r="J83" s="15" t="n">
        <x:f>H83-I83</x:f>
        <x:v>50.35000000000002</x:v>
      </x:c>
      <x:c r="K83" s="16" t="n">
        <x:f>IFERROR(J83/H83,0)</x:f>
        <x:v>0.15523354401109918</x:v>
      </x:c>
      <x:c r="L83" s="14" t="str">
        <x:f>IF(J83&gt;0,"Provisional positive contribution","Not viable")</x:f>
        <x:v>Provisional positive contribution</x:v>
      </x:c>
    </x:row>
    <x:row r="84">
      <x:c r="A84" s="14" t="str">
        <x:v>300gsm Oversized Cotton</x:v>
      </x:c>
      <x:c r="B84" s="14" t="n">
        <x:v>25</x:v>
      </x:c>
      <x:c r="C84" s="15" t="n">
        <x:v>649</x:v>
      </x:c>
      <x:c r="D84" s="15" t="n">
        <x:v>349</x:v>
      </x:c>
      <x:c r="E84" s="16" t="n">
        <x:v>0.2</x:v>
      </x:c>
      <x:c r="F84" s="15" t="n">
        <x:f>INDEX('Inputs'!$D$4:$D$6,MATCH(A84,'Inputs'!$A$4:$A$6,0))</x:f>
        <x:v>189</x:v>
      </x:c>
      <x:c r="G84" s="15" t="n">
        <x:f>INDEX('Inputs'!$E$4:$E$6,MATCH(A84,'Inputs'!$A$4:$A$6,0))</x:f>
        <x:v>85</x:v>
      </x:c>
      <x:c r="H84" s="15" t="n">
        <x:f>D84*(1-E84)</x:f>
        <x:v>279.2</x:v>
      </x:c>
      <x:c r="I84" s="15" t="n">
        <x:f>F84+G84</x:f>
        <x:v>274</x:v>
      </x:c>
      <x:c r="J84" s="15" t="n">
        <x:f>H84-I84</x:f>
        <x:v>5.199999999999989</x:v>
      </x:c>
      <x:c r="K84" s="16" t="n">
        <x:f>IFERROR(J84/H84,0)</x:f>
        <x:v>0.018624641833810848</x:v>
      </x:c>
      <x:c r="L84" s="14" t="str">
        <x:f>IF(J84&gt;0,"Provisional positive contribution","Not viable")</x:f>
        <x:v>Provisional positive contribution</x:v>
      </x:c>
    </x:row>
    <x:row r="85">
      <x:c r="A85" s="14" t="str">
        <x:v>300gsm Oversized Cotton</x:v>
      </x:c>
      <x:c r="B85" s="14" t="n">
        <x:v>25</x:v>
      </x:c>
      <x:c r="C85" s="15" t="n">
        <x:v>649</x:v>
      </x:c>
      <x:c r="D85" s="15" t="n">
        <x:v>349</x:v>
      </x:c>
      <x:c r="E85" s="16" t="n">
        <x:v>0.25</x:v>
      </x:c>
      <x:c r="F85" s="15" t="n">
        <x:f>INDEX('Inputs'!$D$4:$D$6,MATCH(A85,'Inputs'!$A$4:$A$6,0))</x:f>
        <x:v>189</x:v>
      </x:c>
      <x:c r="G85" s="15" t="n">
        <x:f>INDEX('Inputs'!$E$4:$E$6,MATCH(A85,'Inputs'!$A$4:$A$6,0))</x:f>
        <x:v>85</x:v>
      </x:c>
      <x:c r="H85" s="15" t="n">
        <x:f>D85*(1-E85)</x:f>
        <x:v>261.75</x:v>
      </x:c>
      <x:c r="I85" s="15" t="n">
        <x:f>F85+G85</x:f>
        <x:v>274</x:v>
      </x:c>
      <x:c r="J85" s="15" t="n">
        <x:f>H85-I85</x:f>
        <x:v>-12.25</x:v>
      </x:c>
      <x:c r="K85" s="16" t="n">
        <x:f>IFERROR(J85/H85,0)</x:f>
        <x:v>-0.04680038204393505</x:v>
      </x:c>
      <x:c r="L85" s="14" t="str">
        <x:f>IF(J85&gt;0,"Provisional positive contribution","Not viable")</x:f>
        <x:v>Not viable</x:v>
      </x:c>
    </x:row>
    <x:row r="86">
      <x:c r="A86" s="14" t="str">
        <x:v>300gsm Oversized Cotton</x:v>
      </x:c>
      <x:c r="B86" s="14" t="n">
        <x:v>25</x:v>
      </x:c>
      <x:c r="C86" s="15" t="n">
        <x:v>649</x:v>
      </x:c>
      <x:c r="D86" s="15" t="n">
        <x:v>349</x:v>
      </x:c>
      <x:c r="E86" s="16" t="n">
        <x:v>0.3</x:v>
      </x:c>
      <x:c r="F86" s="15" t="n">
        <x:f>INDEX('Inputs'!$D$4:$D$6,MATCH(A86,'Inputs'!$A$4:$A$6,0))</x:f>
        <x:v>189</x:v>
      </x:c>
      <x:c r="G86" s="15" t="n">
        <x:f>INDEX('Inputs'!$E$4:$E$6,MATCH(A86,'Inputs'!$A$4:$A$6,0))</x:f>
        <x:v>85</x:v>
      </x:c>
      <x:c r="H86" s="15" t="n">
        <x:f>D86*(1-E86)</x:f>
        <x:v>244.29999999999998</x:v>
      </x:c>
      <x:c r="I86" s="15" t="n">
        <x:f>F86+G86</x:f>
        <x:v>274</x:v>
      </x:c>
      <x:c r="J86" s="15" t="n">
        <x:f>H86-I86</x:f>
        <x:v>-29.700000000000017</x:v>
      </x:c>
      <x:c r="K86" s="16" t="n">
        <x:f>IFERROR(J86/H86,0)</x:f>
        <x:v>-0.1215718379042162</x:v>
      </x:c>
      <x:c r="L86" s="14" t="str">
        <x:f>IF(J86&gt;0,"Provisional positive contribution","Not viable")</x:f>
        <x:v>Not viable</x:v>
      </x:c>
    </x:row>
    <x:row r="87">
      <x:c r="A87" s="14" t="str">
        <x:v>300gsm Oversized Cotton</x:v>
      </x:c>
      <x:c r="B87" s="14" t="n">
        <x:v>25</x:v>
      </x:c>
      <x:c r="C87" s="15" t="n">
        <x:v>649</x:v>
      </x:c>
      <x:c r="D87" s="15" t="n">
        <x:v>349</x:v>
      </x:c>
      <x:c r="E87" s="16" t="n">
        <x:v>0.35</x:v>
      </x:c>
      <x:c r="F87" s="15" t="n">
        <x:f>INDEX('Inputs'!$D$4:$D$6,MATCH(A87,'Inputs'!$A$4:$A$6,0))</x:f>
        <x:v>189</x:v>
      </x:c>
      <x:c r="G87" s="15" t="n">
        <x:f>INDEX('Inputs'!$E$4:$E$6,MATCH(A87,'Inputs'!$A$4:$A$6,0))</x:f>
        <x:v>85</x:v>
      </x:c>
      <x:c r="H87" s="15" t="n">
        <x:f>D87*(1-E87)</x:f>
        <x:v>226.85</x:v>
      </x:c>
      <x:c r="I87" s="15" t="n">
        <x:f>F87+G87</x:f>
        <x:v>274</x:v>
      </x:c>
      <x:c r="J87" s="15" t="n">
        <x:f>H87-I87</x:f>
        <x:v>-47.150000000000006</x:v>
      </x:c>
      <x:c r="K87" s="16" t="n">
        <x:f>IFERROR(J87/H87,0)</x:f>
        <x:v>-0.20784659466607894</x:v>
      </x:c>
      <x:c r="L87" s="14" t="str">
        <x:f>IF(J87&gt;0,"Provisional positive contribution","Not viable")</x:f>
        <x:v>Not viable</x:v>
      </x:c>
    </x:row>
    <x:row r="88">
      <x:c r="A88" s="14" t="str">
        <x:v>300gsm Oversized Cotton</x:v>
      </x:c>
      <x:c r="B88" s="14" t="n">
        <x:v>25</x:v>
      </x:c>
      <x:c r="C88" s="15" t="n">
        <x:v>649</x:v>
      </x:c>
      <x:c r="D88" s="15" t="n">
        <x:v>399</x:v>
      </x:c>
      <x:c r="E88" s="16" t="n">
        <x:v>0.2</x:v>
      </x:c>
      <x:c r="F88" s="15" t="n">
        <x:f>INDEX('Inputs'!$D$4:$D$6,MATCH(A88,'Inputs'!$A$4:$A$6,0))</x:f>
        <x:v>189</x:v>
      </x:c>
      <x:c r="G88" s="15" t="n">
        <x:f>INDEX('Inputs'!$E$4:$E$6,MATCH(A88,'Inputs'!$A$4:$A$6,0))</x:f>
        <x:v>85</x:v>
      </x:c>
      <x:c r="H88" s="15" t="n">
        <x:f>D88*(1-E88)</x:f>
        <x:v>319.20000000000005</x:v>
      </x:c>
      <x:c r="I88" s="15" t="n">
        <x:f>F88+G88</x:f>
        <x:v>274</x:v>
      </x:c>
      <x:c r="J88" s="15" t="n">
        <x:f>H88-I88</x:f>
        <x:v>45.200000000000045</x:v>
      </x:c>
      <x:c r="K88" s="16" t="n">
        <x:f>IFERROR(J88/H88,0)</x:f>
        <x:v>0.1416040100250628</x:v>
      </x:c>
      <x:c r="L88" s="14" t="str">
        <x:f>IF(J88&gt;0,"Provisional positive contribution","Not viable")</x:f>
        <x:v>Provisional positive contribution</x:v>
      </x:c>
    </x:row>
    <x:row r="89">
      <x:c r="A89" s="14" t="str">
        <x:v>300gsm Oversized Cotton</x:v>
      </x:c>
      <x:c r="B89" s="14" t="n">
        <x:v>25</x:v>
      </x:c>
      <x:c r="C89" s="15" t="n">
        <x:v>649</x:v>
      </x:c>
      <x:c r="D89" s="15" t="n">
        <x:v>399</x:v>
      </x:c>
      <x:c r="E89" s="16" t="n">
        <x:v>0.25</x:v>
      </x:c>
      <x:c r="F89" s="15" t="n">
        <x:f>INDEX('Inputs'!$D$4:$D$6,MATCH(A89,'Inputs'!$A$4:$A$6,0))</x:f>
        <x:v>189</x:v>
      </x:c>
      <x:c r="G89" s="15" t="n">
        <x:f>INDEX('Inputs'!$E$4:$E$6,MATCH(A89,'Inputs'!$A$4:$A$6,0))</x:f>
        <x:v>85</x:v>
      </x:c>
      <x:c r="H89" s="15" t="n">
        <x:f>D89*(1-E89)</x:f>
        <x:v>299.25</x:v>
      </x:c>
      <x:c r="I89" s="15" t="n">
        <x:f>F89+G89</x:f>
        <x:v>274</x:v>
      </x:c>
      <x:c r="J89" s="15" t="n">
        <x:f>H89-I89</x:f>
        <x:v>25.25</x:v>
      </x:c>
      <x:c r="K89" s="16" t="n">
        <x:f>IFERROR(J89/H89,0)</x:f>
        <x:v>0.08437761069340016</x:v>
      </x:c>
      <x:c r="L89" s="14" t="str">
        <x:f>IF(J89&gt;0,"Provisional positive contribution","Not viable")</x:f>
        <x:v>Provisional positive contribution</x:v>
      </x:c>
    </x:row>
    <x:row r="90">
      <x:c r="A90" s="14" t="str">
        <x:v>300gsm Oversized Cotton</x:v>
      </x:c>
      <x:c r="B90" s="14" t="n">
        <x:v>25</x:v>
      </x:c>
      <x:c r="C90" s="15" t="n">
        <x:v>649</x:v>
      </x:c>
      <x:c r="D90" s="15" t="n">
        <x:v>399</x:v>
      </x:c>
      <x:c r="E90" s="16" t="n">
        <x:v>0.3</x:v>
      </x:c>
      <x:c r="F90" s="15" t="n">
        <x:f>INDEX('Inputs'!$D$4:$D$6,MATCH(A90,'Inputs'!$A$4:$A$6,0))</x:f>
        <x:v>189</x:v>
      </x:c>
      <x:c r="G90" s="15" t="n">
        <x:f>INDEX('Inputs'!$E$4:$E$6,MATCH(A90,'Inputs'!$A$4:$A$6,0))</x:f>
        <x:v>85</x:v>
      </x:c>
      <x:c r="H90" s="15" t="n">
        <x:f>D90*(1-E90)</x:f>
        <x:v>279.29999999999995</x:v>
      </x:c>
      <x:c r="I90" s="15" t="n">
        <x:f>F90+G90</x:f>
        <x:v>274</x:v>
      </x:c>
      <x:c r="J90" s="15" t="n">
        <x:f>H90-I90</x:f>
        <x:v>5.2999999999999545</x:v>
      </x:c>
      <x:c r="K90" s="16" t="n">
        <x:f>IFERROR(J90/H90,0)</x:f>
        <x:v>0.018976011457214306</x:v>
      </x:c>
      <x:c r="L90" s="14" t="str">
        <x:f>IF(J90&gt;0,"Provisional positive contribution","Not viable")</x:f>
        <x:v>Provisional positive contribution</x:v>
      </x:c>
    </x:row>
    <x:row r="91">
      <x:c r="A91" s="14" t="str">
        <x:v>300gsm Oversized Cotton</x:v>
      </x:c>
      <x:c r="B91" s="14" t="n">
        <x:v>25</x:v>
      </x:c>
      <x:c r="C91" s="15" t="n">
        <x:v>649</x:v>
      </x:c>
      <x:c r="D91" s="15" t="n">
        <x:v>399</x:v>
      </x:c>
      <x:c r="E91" s="16" t="n">
        <x:v>0.35</x:v>
      </x:c>
      <x:c r="F91" s="15" t="n">
        <x:f>INDEX('Inputs'!$D$4:$D$6,MATCH(A91,'Inputs'!$A$4:$A$6,0))</x:f>
        <x:v>189</x:v>
      </x:c>
      <x:c r="G91" s="15" t="n">
        <x:f>INDEX('Inputs'!$E$4:$E$6,MATCH(A91,'Inputs'!$A$4:$A$6,0))</x:f>
        <x:v>85</x:v>
      </x:c>
      <x:c r="H91" s="15" t="n">
        <x:f>D91*(1-E91)</x:f>
        <x:v>259.35</x:v>
      </x:c>
      <x:c r="I91" s="15" t="n">
        <x:f>F91+G91</x:f>
        <x:v>274</x:v>
      </x:c>
      <x:c r="J91" s="15" t="n">
        <x:f>H91-I91</x:f>
        <x:v>-14.649999999999977</x:v>
      </x:c>
      <x:c r="K91" s="16" t="n">
        <x:f>IFERROR(J91/H91,0)</x:f>
        <x:v>-0.05648737227684587</x:v>
      </x:c>
      <x:c r="L91" s="14" t="str">
        <x:f>IF(J91&gt;0,"Provisional positive contribution","Not viable")</x:f>
        <x:v>Not viable</x:v>
      </x:c>
    </x:row>
    <x:row r="92">
      <x:c r="A92" s="14" t="str">
        <x:v>300gsm Oversized Cotton</x:v>
      </x:c>
      <x:c r="B92" s="14" t="n">
        <x:v>25</x:v>
      </x:c>
      <x:c r="C92" s="15" t="n">
        <x:v>649</x:v>
      </x:c>
      <x:c r="D92" s="15" t="n">
        <x:v>449</x:v>
      </x:c>
      <x:c r="E92" s="16" t="n">
        <x:v>0.2</x:v>
      </x:c>
      <x:c r="F92" s="15" t="n">
        <x:f>INDEX('Inputs'!$D$4:$D$6,MATCH(A92,'Inputs'!$A$4:$A$6,0))</x:f>
        <x:v>189</x:v>
      </x:c>
      <x:c r="G92" s="15" t="n">
        <x:f>INDEX('Inputs'!$E$4:$E$6,MATCH(A92,'Inputs'!$A$4:$A$6,0))</x:f>
        <x:v>85</x:v>
      </x:c>
      <x:c r="H92" s="15" t="n">
        <x:f>D92*(1-E92)</x:f>
        <x:v>359.20000000000005</x:v>
      </x:c>
      <x:c r="I92" s="15" t="n">
        <x:f>F92+G92</x:f>
        <x:v>274</x:v>
      </x:c>
      <x:c r="J92" s="15" t="n">
        <x:f>H92-I92</x:f>
        <x:v>85.20000000000005</x:v>
      </x:c>
      <x:c r="K92" s="16" t="n">
        <x:f>IFERROR(J92/H92,0)</x:f>
        <x:v>0.23719376391982191</x:v>
      </x:c>
      <x:c r="L92" s="14" t="str">
        <x:f>IF(J92&gt;0,"Provisional positive contribution","Not viable")</x:f>
        <x:v>Provisional positive contribution</x:v>
      </x:c>
    </x:row>
    <x:row r="93">
      <x:c r="A93" s="14" t="str">
        <x:v>300gsm Oversized Cotton</x:v>
      </x:c>
      <x:c r="B93" s="14" t="n">
        <x:v>25</x:v>
      </x:c>
      <x:c r="C93" s="15" t="n">
        <x:v>649</x:v>
      </x:c>
      <x:c r="D93" s="15" t="n">
        <x:v>449</x:v>
      </x:c>
      <x:c r="E93" s="16" t="n">
        <x:v>0.25</x:v>
      </x:c>
      <x:c r="F93" s="15" t="n">
        <x:f>INDEX('Inputs'!$D$4:$D$6,MATCH(A93,'Inputs'!$A$4:$A$6,0))</x:f>
        <x:v>189</x:v>
      </x:c>
      <x:c r="G93" s="15" t="n">
        <x:f>INDEX('Inputs'!$E$4:$E$6,MATCH(A93,'Inputs'!$A$4:$A$6,0))</x:f>
        <x:v>85</x:v>
      </x:c>
      <x:c r="H93" s="15" t="n">
        <x:f>D93*(1-E93)</x:f>
        <x:v>336.75</x:v>
      </x:c>
      <x:c r="I93" s="15" t="n">
        <x:f>F93+G93</x:f>
        <x:v>274</x:v>
      </x:c>
      <x:c r="J93" s="15" t="n">
        <x:f>H93-I93</x:f>
        <x:v>62.75</x:v>
      </x:c>
      <x:c r="K93" s="16" t="n">
        <x:f>IFERROR(J93/H93,0)</x:f>
        <x:v>0.18634001484780996</x:v>
      </x:c>
      <x:c r="L93" s="14" t="str">
        <x:f>IF(J93&gt;0,"Provisional positive contribution","Not viable")</x:f>
        <x:v>Provisional positive contribution</x:v>
      </x:c>
    </x:row>
    <x:row r="94">
      <x:c r="A94" s="14" t="str">
        <x:v>300gsm Oversized Cotton</x:v>
      </x:c>
      <x:c r="B94" s="14" t="n">
        <x:v>25</x:v>
      </x:c>
      <x:c r="C94" s="15" t="n">
        <x:v>649</x:v>
      </x:c>
      <x:c r="D94" s="15" t="n">
        <x:v>449</x:v>
      </x:c>
      <x:c r="E94" s="16" t="n">
        <x:v>0.3</x:v>
      </x:c>
      <x:c r="F94" s="15" t="n">
        <x:f>INDEX('Inputs'!$D$4:$D$6,MATCH(A94,'Inputs'!$A$4:$A$6,0))</x:f>
        <x:v>189</x:v>
      </x:c>
      <x:c r="G94" s="15" t="n">
        <x:f>INDEX('Inputs'!$E$4:$E$6,MATCH(A94,'Inputs'!$A$4:$A$6,0))</x:f>
        <x:v>85</x:v>
      </x:c>
      <x:c r="H94" s="15" t="n">
        <x:f>D94*(1-E94)</x:f>
        <x:v>314.29999999999995</x:v>
      </x:c>
      <x:c r="I94" s="15" t="n">
        <x:f>F94+G94</x:f>
        <x:v>274</x:v>
      </x:c>
      <x:c r="J94" s="15" t="n">
        <x:f>H94-I94</x:f>
        <x:v>40.299999999999955</x:v>
      </x:c>
      <x:c r="K94" s="16" t="n">
        <x:f>IFERROR(J94/H94,0)</x:f>
        <x:v>0.12822144447979625</x:v>
      </x:c>
      <x:c r="L94" s="14" t="str">
        <x:f>IF(J94&gt;0,"Provisional positive contribution","Not viable")</x:f>
        <x:v>Provisional positive contribution</x:v>
      </x:c>
    </x:row>
    <x:row r="95">
      <x:c r="A95" s="14" t="str">
        <x:v>300gsm Oversized Cotton</x:v>
      </x:c>
      <x:c r="B95" s="14" t="n">
        <x:v>25</x:v>
      </x:c>
      <x:c r="C95" s="15" t="n">
        <x:v>649</x:v>
      </x:c>
      <x:c r="D95" s="15" t="n">
        <x:v>449</x:v>
      </x:c>
      <x:c r="E95" s="16" t="n">
        <x:v>0.35</x:v>
      </x:c>
      <x:c r="F95" s="15" t="n">
        <x:f>INDEX('Inputs'!$D$4:$D$6,MATCH(A95,'Inputs'!$A$4:$A$6,0))</x:f>
        <x:v>189</x:v>
      </x:c>
      <x:c r="G95" s="15" t="n">
        <x:f>INDEX('Inputs'!$E$4:$E$6,MATCH(A95,'Inputs'!$A$4:$A$6,0))</x:f>
        <x:v>85</x:v>
      </x:c>
      <x:c r="H95" s="15" t="n">
        <x:f>D95*(1-E95)</x:f>
        <x:v>291.85</x:v>
      </x:c>
      <x:c r="I95" s="15" t="n">
        <x:f>F95+G95</x:f>
        <x:v>274</x:v>
      </x:c>
      <x:c r="J95" s="15" t="n">
        <x:f>H95-I95</x:f>
        <x:v>17.850000000000023</x:v>
      </x:c>
      <x:c r="K95" s="16" t="n">
        <x:f>IFERROR(J95/H95,0)</x:f>
        <x:v>0.06116155559362694</x:v>
      </x:c>
      <x:c r="L95" s="14" t="str">
        <x:f>IF(J95&gt;0,"Provisional positive contribution","Not viable")</x:f>
        <x:v>Provisional positive contribution</x:v>
      </x:c>
    </x:row>
    <x:row r="96">
      <x:c r="A96" s="14" t="str">
        <x:v>300gsm Oversized Cotton</x:v>
      </x:c>
      <x:c r="B96" s="14" t="n">
        <x:v>25</x:v>
      </x:c>
      <x:c r="C96" s="15" t="n">
        <x:v>649</x:v>
      </x:c>
      <x:c r="D96" s="15" t="n">
        <x:v>499</x:v>
      </x:c>
      <x:c r="E96" s="16" t="n">
        <x:v>0.2</x:v>
      </x:c>
      <x:c r="F96" s="15" t="n">
        <x:f>INDEX('Inputs'!$D$4:$D$6,MATCH(A96,'Inputs'!$A$4:$A$6,0))</x:f>
        <x:v>189</x:v>
      </x:c>
      <x:c r="G96" s="15" t="n">
        <x:f>INDEX('Inputs'!$E$4:$E$6,MATCH(A96,'Inputs'!$A$4:$A$6,0))</x:f>
        <x:v>85</x:v>
      </x:c>
      <x:c r="H96" s="15" t="n">
        <x:f>D96*(1-E96)</x:f>
        <x:v>399.20000000000005</x:v>
      </x:c>
      <x:c r="I96" s="15" t="n">
        <x:f>F96+G96</x:f>
        <x:v>274</x:v>
      </x:c>
      <x:c r="J96" s="15" t="n">
        <x:f>H96-I96</x:f>
        <x:v>125.20000000000005</x:v>
      </x:c>
      <x:c r="K96" s="16" t="n">
        <x:f>IFERROR(J96/H96,0)</x:f>
        <x:v>0.3136272545090181</x:v>
      </x:c>
      <x:c r="L96" s="14" t="str">
        <x:f>IF(J96&gt;0,"Provisional positive contribution","Not viable")</x:f>
        <x:v>Provisional positive contribution</x:v>
      </x:c>
    </x:row>
    <x:row r="97">
      <x:c r="A97" s="14" t="str">
        <x:v>300gsm Oversized Cotton</x:v>
      </x:c>
      <x:c r="B97" s="14" t="n">
        <x:v>25</x:v>
      </x:c>
      <x:c r="C97" s="15" t="n">
        <x:v>649</x:v>
      </x:c>
      <x:c r="D97" s="15" t="n">
        <x:v>499</x:v>
      </x:c>
      <x:c r="E97" s="16" t="n">
        <x:v>0.25</x:v>
      </x:c>
      <x:c r="F97" s="15" t="n">
        <x:f>INDEX('Inputs'!$D$4:$D$6,MATCH(A97,'Inputs'!$A$4:$A$6,0))</x:f>
        <x:v>189</x:v>
      </x:c>
      <x:c r="G97" s="15" t="n">
        <x:f>INDEX('Inputs'!$E$4:$E$6,MATCH(A97,'Inputs'!$A$4:$A$6,0))</x:f>
        <x:v>85</x:v>
      </x:c>
      <x:c r="H97" s="15" t="n">
        <x:f>D97*(1-E97)</x:f>
        <x:v>374.25</x:v>
      </x:c>
      <x:c r="I97" s="15" t="n">
        <x:f>F97+G97</x:f>
        <x:v>274</x:v>
      </x:c>
      <x:c r="J97" s="15" t="n">
        <x:f>H97-I97</x:f>
        <x:v>100.25</x:v>
      </x:c>
      <x:c r="K97" s="16" t="n">
        <x:f>IFERROR(J97/H97,0)</x:f>
        <x:v>0.2678690714762859</x:v>
      </x:c>
      <x:c r="L97" s="14" t="str">
        <x:f>IF(J97&gt;0,"Provisional positive contribution","Not viable")</x:f>
        <x:v>Provisional positive contribution</x:v>
      </x:c>
    </x:row>
    <x:row r="98">
      <x:c r="A98" s="14" t="str">
        <x:v>300gsm Oversized Cotton</x:v>
      </x:c>
      <x:c r="B98" s="14" t="n">
        <x:v>25</x:v>
      </x:c>
      <x:c r="C98" s="15" t="n">
        <x:v>649</x:v>
      </x:c>
      <x:c r="D98" s="15" t="n">
        <x:v>499</x:v>
      </x:c>
      <x:c r="E98" s="16" t="n">
        <x:v>0.3</x:v>
      </x:c>
      <x:c r="F98" s="15" t="n">
        <x:f>INDEX('Inputs'!$D$4:$D$6,MATCH(A98,'Inputs'!$A$4:$A$6,0))</x:f>
        <x:v>189</x:v>
      </x:c>
      <x:c r="G98" s="15" t="n">
        <x:f>INDEX('Inputs'!$E$4:$E$6,MATCH(A98,'Inputs'!$A$4:$A$6,0))</x:f>
        <x:v>85</x:v>
      </x:c>
      <x:c r="H98" s="15" t="n">
        <x:f>D98*(1-E98)</x:f>
        <x:v>349.29999999999995</x:v>
      </x:c>
      <x:c r="I98" s="15" t="n">
        <x:f>F98+G98</x:f>
        <x:v>274</x:v>
      </x:c>
      <x:c r="J98" s="15" t="n">
        <x:f>H98-I98</x:f>
        <x:v>75.29999999999995</x:v>
      </x:c>
      <x:c r="K98" s="16" t="n">
        <x:f>IFERROR(J98/H98,0)</x:f>
        <x:v>0.21557400515316336</x:v>
      </x:c>
      <x:c r="L98" s="14" t="str">
        <x:f>IF(J98&gt;0,"Provisional positive contribution","Not viable")</x:f>
        <x:v>Provisional positive contribution</x:v>
      </x:c>
    </x:row>
    <x:row r="99">
      <x:c r="A99" s="14" t="str">
        <x:v>300gsm Oversized Cotton</x:v>
      </x:c>
      <x:c r="B99" s="14" t="n">
        <x:v>25</x:v>
      </x:c>
      <x:c r="C99" s="15" t="n">
        <x:v>649</x:v>
      </x:c>
      <x:c r="D99" s="15" t="n">
        <x:v>499</x:v>
      </x:c>
      <x:c r="E99" s="16" t="n">
        <x:v>0.35</x:v>
      </x:c>
      <x:c r="F99" s="15" t="n">
        <x:f>INDEX('Inputs'!$D$4:$D$6,MATCH(A99,'Inputs'!$A$4:$A$6,0))</x:f>
        <x:v>189</x:v>
      </x:c>
      <x:c r="G99" s="15" t="n">
        <x:f>INDEX('Inputs'!$E$4:$E$6,MATCH(A99,'Inputs'!$A$4:$A$6,0))</x:f>
        <x:v>85</x:v>
      </x:c>
      <x:c r="H99" s="15" t="n">
        <x:f>D99*(1-E99)</x:f>
        <x:v>324.35</x:v>
      </x:c>
      <x:c r="I99" s="15" t="n">
        <x:f>F99+G99</x:f>
        <x:v>274</x:v>
      </x:c>
      <x:c r="J99" s="15" t="n">
        <x:f>H99-I99</x:f>
        <x:v>50.35000000000002</x:v>
      </x:c>
      <x:c r="K99" s="16" t="n">
        <x:f>IFERROR(J99/H99,0)</x:f>
        <x:v>0.15523354401109918</x:v>
      </x:c>
      <x:c r="L99" s="14" t="str">
        <x:f>IF(J99&gt;0,"Provisional positive contribution","Not viable")</x:f>
        <x:v>Provisional positive contribution</x:v>
      </x:c>
    </x:row>
    <x:row r="100">
      <x:c r="A100" s="14" t="str">
        <x:v>300gsm Oversized Cotton</x:v>
      </x:c>
      <x:c r="B100" s="14" t="n">
        <x:v>25</x:v>
      </x:c>
      <x:c r="C100" s="15" t="n">
        <x:v>699</x:v>
      </x:c>
      <x:c r="D100" s="15" t="n">
        <x:v>349</x:v>
      </x:c>
      <x:c r="E100" s="16" t="n">
        <x:v>0.2</x:v>
      </x:c>
      <x:c r="F100" s="15" t="n">
        <x:f>INDEX('Inputs'!$D$4:$D$6,MATCH(A100,'Inputs'!$A$4:$A$6,0))</x:f>
        <x:v>189</x:v>
      </x:c>
      <x:c r="G100" s="15" t="n">
        <x:f>INDEX('Inputs'!$E$4:$E$6,MATCH(A100,'Inputs'!$A$4:$A$6,0))</x:f>
        <x:v>85</x:v>
      </x:c>
      <x:c r="H100" s="15" t="n">
        <x:f>D100*(1-E100)</x:f>
        <x:v>279.2</x:v>
      </x:c>
      <x:c r="I100" s="15" t="n">
        <x:f>F100+G100</x:f>
        <x:v>274</x:v>
      </x:c>
      <x:c r="J100" s="15" t="n">
        <x:f>H100-I100</x:f>
        <x:v>5.199999999999989</x:v>
      </x:c>
      <x:c r="K100" s="16" t="n">
        <x:f>IFERROR(J100/H100,0)</x:f>
        <x:v>0.018624641833810848</x:v>
      </x:c>
      <x:c r="L100" s="14" t="str">
        <x:f>IF(J100&gt;0,"Provisional positive contribution","Not viable")</x:f>
        <x:v>Provisional positive contribution</x:v>
      </x:c>
    </x:row>
    <x:row r="101">
      <x:c r="A101" s="14" t="str">
        <x:v>300gsm Oversized Cotton</x:v>
      </x:c>
      <x:c r="B101" s="14" t="n">
        <x:v>25</x:v>
      </x:c>
      <x:c r="C101" s="15" t="n">
        <x:v>699</x:v>
      </x:c>
      <x:c r="D101" s="15" t="n">
        <x:v>349</x:v>
      </x:c>
      <x:c r="E101" s="16" t="n">
        <x:v>0.25</x:v>
      </x:c>
      <x:c r="F101" s="15" t="n">
        <x:f>INDEX('Inputs'!$D$4:$D$6,MATCH(A101,'Inputs'!$A$4:$A$6,0))</x:f>
        <x:v>189</x:v>
      </x:c>
      <x:c r="G101" s="15" t="n">
        <x:f>INDEX('Inputs'!$E$4:$E$6,MATCH(A101,'Inputs'!$A$4:$A$6,0))</x:f>
        <x:v>85</x:v>
      </x:c>
      <x:c r="H101" s="15" t="n">
        <x:f>D101*(1-E101)</x:f>
        <x:v>261.75</x:v>
      </x:c>
      <x:c r="I101" s="15" t="n">
        <x:f>F101+G101</x:f>
        <x:v>274</x:v>
      </x:c>
      <x:c r="J101" s="15" t="n">
        <x:f>H101-I101</x:f>
        <x:v>-12.25</x:v>
      </x:c>
      <x:c r="K101" s="16" t="n">
        <x:f>IFERROR(J101/H101,0)</x:f>
        <x:v>-0.04680038204393505</x:v>
      </x:c>
      <x:c r="L101" s="14" t="str">
        <x:f>IF(J101&gt;0,"Provisional positive contribution","Not viable")</x:f>
        <x:v>Not viable</x:v>
      </x:c>
    </x:row>
    <x:row r="102">
      <x:c r="A102" s="14" t="str">
        <x:v>300gsm Oversized Cotton</x:v>
      </x:c>
      <x:c r="B102" s="14" t="n">
        <x:v>25</x:v>
      </x:c>
      <x:c r="C102" s="15" t="n">
        <x:v>699</x:v>
      </x:c>
      <x:c r="D102" s="15" t="n">
        <x:v>349</x:v>
      </x:c>
      <x:c r="E102" s="16" t="n">
        <x:v>0.3</x:v>
      </x:c>
      <x:c r="F102" s="15" t="n">
        <x:f>INDEX('Inputs'!$D$4:$D$6,MATCH(A102,'Inputs'!$A$4:$A$6,0))</x:f>
        <x:v>189</x:v>
      </x:c>
      <x:c r="G102" s="15" t="n">
        <x:f>INDEX('Inputs'!$E$4:$E$6,MATCH(A102,'Inputs'!$A$4:$A$6,0))</x:f>
        <x:v>85</x:v>
      </x:c>
      <x:c r="H102" s="15" t="n">
        <x:f>D102*(1-E102)</x:f>
        <x:v>244.29999999999998</x:v>
      </x:c>
      <x:c r="I102" s="15" t="n">
        <x:f>F102+G102</x:f>
        <x:v>274</x:v>
      </x:c>
      <x:c r="J102" s="15" t="n">
        <x:f>H102-I102</x:f>
        <x:v>-29.700000000000017</x:v>
      </x:c>
      <x:c r="K102" s="16" t="n">
        <x:f>IFERROR(J102/H102,0)</x:f>
        <x:v>-0.1215718379042162</x:v>
      </x:c>
      <x:c r="L102" s="14" t="str">
        <x:f>IF(J102&gt;0,"Provisional positive contribution","Not viable")</x:f>
        <x:v>Not viable</x:v>
      </x:c>
    </x:row>
    <x:row r="103">
      <x:c r="A103" s="14" t="str">
        <x:v>300gsm Oversized Cotton</x:v>
      </x:c>
      <x:c r="B103" s="14" t="n">
        <x:v>25</x:v>
      </x:c>
      <x:c r="C103" s="15" t="n">
        <x:v>699</x:v>
      </x:c>
      <x:c r="D103" s="15" t="n">
        <x:v>349</x:v>
      </x:c>
      <x:c r="E103" s="16" t="n">
        <x:v>0.35</x:v>
      </x:c>
      <x:c r="F103" s="15" t="n">
        <x:f>INDEX('Inputs'!$D$4:$D$6,MATCH(A103,'Inputs'!$A$4:$A$6,0))</x:f>
        <x:v>189</x:v>
      </x:c>
      <x:c r="G103" s="15" t="n">
        <x:f>INDEX('Inputs'!$E$4:$E$6,MATCH(A103,'Inputs'!$A$4:$A$6,0))</x:f>
        <x:v>85</x:v>
      </x:c>
      <x:c r="H103" s="15" t="n">
        <x:f>D103*(1-E103)</x:f>
        <x:v>226.85</x:v>
      </x:c>
      <x:c r="I103" s="15" t="n">
        <x:f>F103+G103</x:f>
        <x:v>274</x:v>
      </x:c>
      <x:c r="J103" s="15" t="n">
        <x:f>H103-I103</x:f>
        <x:v>-47.150000000000006</x:v>
      </x:c>
      <x:c r="K103" s="16" t="n">
        <x:f>IFERROR(J103/H103,0)</x:f>
        <x:v>-0.20784659466607894</x:v>
      </x:c>
      <x:c r="L103" s="14" t="str">
        <x:f>IF(J103&gt;0,"Provisional positive contribution","Not viable")</x:f>
        <x:v>Not viable</x:v>
      </x:c>
    </x:row>
    <x:row r="104">
      <x:c r="A104" s="14" t="str">
        <x:v>300gsm Oversized Cotton</x:v>
      </x:c>
      <x:c r="B104" s="14" t="n">
        <x:v>25</x:v>
      </x:c>
      <x:c r="C104" s="15" t="n">
        <x:v>699</x:v>
      </x:c>
      <x:c r="D104" s="15" t="n">
        <x:v>399</x:v>
      </x:c>
      <x:c r="E104" s="16" t="n">
        <x:v>0.2</x:v>
      </x:c>
      <x:c r="F104" s="15" t="n">
        <x:f>INDEX('Inputs'!$D$4:$D$6,MATCH(A104,'Inputs'!$A$4:$A$6,0))</x:f>
        <x:v>189</x:v>
      </x:c>
      <x:c r="G104" s="15" t="n">
        <x:f>INDEX('Inputs'!$E$4:$E$6,MATCH(A104,'Inputs'!$A$4:$A$6,0))</x:f>
        <x:v>85</x:v>
      </x:c>
      <x:c r="H104" s="15" t="n">
        <x:f>D104*(1-E104)</x:f>
        <x:v>319.20000000000005</x:v>
      </x:c>
      <x:c r="I104" s="15" t="n">
        <x:f>F104+G104</x:f>
        <x:v>274</x:v>
      </x:c>
      <x:c r="J104" s="15" t="n">
        <x:f>H104-I104</x:f>
        <x:v>45.200000000000045</x:v>
      </x:c>
      <x:c r="K104" s="16" t="n">
        <x:f>IFERROR(J104/H104,0)</x:f>
        <x:v>0.1416040100250628</x:v>
      </x:c>
      <x:c r="L104" s="14" t="str">
        <x:f>IF(J104&gt;0,"Provisional positive contribution","Not viable")</x:f>
        <x:v>Provisional positive contribution</x:v>
      </x:c>
    </x:row>
    <x:row r="105">
      <x:c r="A105" s="14" t="str">
        <x:v>300gsm Oversized Cotton</x:v>
      </x:c>
      <x:c r="B105" s="14" t="n">
        <x:v>25</x:v>
      </x:c>
      <x:c r="C105" s="15" t="n">
        <x:v>699</x:v>
      </x:c>
      <x:c r="D105" s="15" t="n">
        <x:v>399</x:v>
      </x:c>
      <x:c r="E105" s="16" t="n">
        <x:v>0.25</x:v>
      </x:c>
      <x:c r="F105" s="15" t="n">
        <x:f>INDEX('Inputs'!$D$4:$D$6,MATCH(A105,'Inputs'!$A$4:$A$6,0))</x:f>
        <x:v>189</x:v>
      </x:c>
      <x:c r="G105" s="15" t="n">
        <x:f>INDEX('Inputs'!$E$4:$E$6,MATCH(A105,'Inputs'!$A$4:$A$6,0))</x:f>
        <x:v>85</x:v>
      </x:c>
      <x:c r="H105" s="15" t="n">
        <x:f>D105*(1-E105)</x:f>
        <x:v>299.25</x:v>
      </x:c>
      <x:c r="I105" s="15" t="n">
        <x:f>F105+G105</x:f>
        <x:v>274</x:v>
      </x:c>
      <x:c r="J105" s="15" t="n">
        <x:f>H105-I105</x:f>
        <x:v>25.25</x:v>
      </x:c>
      <x:c r="K105" s="16" t="n">
        <x:f>IFERROR(J105/H105,0)</x:f>
        <x:v>0.08437761069340016</x:v>
      </x:c>
      <x:c r="L105" s="14" t="str">
        <x:f>IF(J105&gt;0,"Provisional positive contribution","Not viable")</x:f>
        <x:v>Provisional positive contribution</x:v>
      </x:c>
    </x:row>
    <x:row r="106">
      <x:c r="A106" s="14" t="str">
        <x:v>300gsm Oversized Cotton</x:v>
      </x:c>
      <x:c r="B106" s="14" t="n">
        <x:v>25</x:v>
      </x:c>
      <x:c r="C106" s="15" t="n">
        <x:v>699</x:v>
      </x:c>
      <x:c r="D106" s="15" t="n">
        <x:v>399</x:v>
      </x:c>
      <x:c r="E106" s="16" t="n">
        <x:v>0.3</x:v>
      </x:c>
      <x:c r="F106" s="15" t="n">
        <x:f>INDEX('Inputs'!$D$4:$D$6,MATCH(A106,'Inputs'!$A$4:$A$6,0))</x:f>
        <x:v>189</x:v>
      </x:c>
      <x:c r="G106" s="15" t="n">
        <x:f>INDEX('Inputs'!$E$4:$E$6,MATCH(A106,'Inputs'!$A$4:$A$6,0))</x:f>
        <x:v>85</x:v>
      </x:c>
      <x:c r="H106" s="15" t="n">
        <x:f>D106*(1-E106)</x:f>
        <x:v>279.29999999999995</x:v>
      </x:c>
      <x:c r="I106" s="15" t="n">
        <x:f>F106+G106</x:f>
        <x:v>274</x:v>
      </x:c>
      <x:c r="J106" s="15" t="n">
        <x:f>H106-I106</x:f>
        <x:v>5.2999999999999545</x:v>
      </x:c>
      <x:c r="K106" s="16" t="n">
        <x:f>IFERROR(J106/H106,0)</x:f>
        <x:v>0.018976011457214306</x:v>
      </x:c>
      <x:c r="L106" s="14" t="str">
        <x:f>IF(J106&gt;0,"Provisional positive contribution","Not viable")</x:f>
        <x:v>Provisional positive contribution</x:v>
      </x:c>
    </x:row>
    <x:row r="107">
      <x:c r="A107" s="14" t="str">
        <x:v>300gsm Oversized Cotton</x:v>
      </x:c>
      <x:c r="B107" s="14" t="n">
        <x:v>25</x:v>
      </x:c>
      <x:c r="C107" s="15" t="n">
        <x:v>699</x:v>
      </x:c>
      <x:c r="D107" s="15" t="n">
        <x:v>399</x:v>
      </x:c>
      <x:c r="E107" s="16" t="n">
        <x:v>0.35</x:v>
      </x:c>
      <x:c r="F107" s="15" t="n">
        <x:f>INDEX('Inputs'!$D$4:$D$6,MATCH(A107,'Inputs'!$A$4:$A$6,0))</x:f>
        <x:v>189</x:v>
      </x:c>
      <x:c r="G107" s="15" t="n">
        <x:f>INDEX('Inputs'!$E$4:$E$6,MATCH(A107,'Inputs'!$A$4:$A$6,0))</x:f>
        <x:v>85</x:v>
      </x:c>
      <x:c r="H107" s="15" t="n">
        <x:f>D107*(1-E107)</x:f>
        <x:v>259.35</x:v>
      </x:c>
      <x:c r="I107" s="15" t="n">
        <x:f>F107+G107</x:f>
        <x:v>274</x:v>
      </x:c>
      <x:c r="J107" s="15" t="n">
        <x:f>H107-I107</x:f>
        <x:v>-14.649999999999977</x:v>
      </x:c>
      <x:c r="K107" s="16" t="n">
        <x:f>IFERROR(J107/H107,0)</x:f>
        <x:v>-0.05648737227684587</x:v>
      </x:c>
      <x:c r="L107" s="14" t="str">
        <x:f>IF(J107&gt;0,"Provisional positive contribution","Not viable")</x:f>
        <x:v>Not viable</x:v>
      </x:c>
    </x:row>
    <x:row r="108">
      <x:c r="A108" s="14" t="str">
        <x:v>300gsm Oversized Cotton</x:v>
      </x:c>
      <x:c r="B108" s="14" t="n">
        <x:v>25</x:v>
      </x:c>
      <x:c r="C108" s="15" t="n">
        <x:v>699</x:v>
      </x:c>
      <x:c r="D108" s="15" t="n">
        <x:v>449</x:v>
      </x:c>
      <x:c r="E108" s="16" t="n">
        <x:v>0.2</x:v>
      </x:c>
      <x:c r="F108" s="15" t="n">
        <x:f>INDEX('Inputs'!$D$4:$D$6,MATCH(A108,'Inputs'!$A$4:$A$6,0))</x:f>
        <x:v>189</x:v>
      </x:c>
      <x:c r="G108" s="15" t="n">
        <x:f>INDEX('Inputs'!$E$4:$E$6,MATCH(A108,'Inputs'!$A$4:$A$6,0))</x:f>
        <x:v>85</x:v>
      </x:c>
      <x:c r="H108" s="15" t="n">
        <x:f>D108*(1-E108)</x:f>
        <x:v>359.20000000000005</x:v>
      </x:c>
      <x:c r="I108" s="15" t="n">
        <x:f>F108+G108</x:f>
        <x:v>274</x:v>
      </x:c>
      <x:c r="J108" s="15" t="n">
        <x:f>H108-I108</x:f>
        <x:v>85.20000000000005</x:v>
      </x:c>
      <x:c r="K108" s="16" t="n">
        <x:f>IFERROR(J108/H108,0)</x:f>
        <x:v>0.23719376391982191</x:v>
      </x:c>
      <x:c r="L108" s="14" t="str">
        <x:f>IF(J108&gt;0,"Provisional positive contribution","Not viable")</x:f>
        <x:v>Provisional positive contribution</x:v>
      </x:c>
    </x:row>
    <x:row r="109">
      <x:c r="A109" s="14" t="str">
        <x:v>300gsm Oversized Cotton</x:v>
      </x:c>
      <x:c r="B109" s="14" t="n">
        <x:v>25</x:v>
      </x:c>
      <x:c r="C109" s="15" t="n">
        <x:v>699</x:v>
      </x:c>
      <x:c r="D109" s="15" t="n">
        <x:v>449</x:v>
      </x:c>
      <x:c r="E109" s="16" t="n">
        <x:v>0.25</x:v>
      </x:c>
      <x:c r="F109" s="15" t="n">
        <x:f>INDEX('Inputs'!$D$4:$D$6,MATCH(A109,'Inputs'!$A$4:$A$6,0))</x:f>
        <x:v>189</x:v>
      </x:c>
      <x:c r="G109" s="15" t="n">
        <x:f>INDEX('Inputs'!$E$4:$E$6,MATCH(A109,'Inputs'!$A$4:$A$6,0))</x:f>
        <x:v>85</x:v>
      </x:c>
      <x:c r="H109" s="15" t="n">
        <x:f>D109*(1-E109)</x:f>
        <x:v>336.75</x:v>
      </x:c>
      <x:c r="I109" s="15" t="n">
        <x:f>F109+G109</x:f>
        <x:v>274</x:v>
      </x:c>
      <x:c r="J109" s="15" t="n">
        <x:f>H109-I109</x:f>
        <x:v>62.75</x:v>
      </x:c>
      <x:c r="K109" s="16" t="n">
        <x:f>IFERROR(J109/H109,0)</x:f>
        <x:v>0.18634001484780996</x:v>
      </x:c>
      <x:c r="L109" s="14" t="str">
        <x:f>IF(J109&gt;0,"Provisional positive contribution","Not viable")</x:f>
        <x:v>Provisional positive contribution</x:v>
      </x:c>
    </x:row>
    <x:row r="110">
      <x:c r="A110" s="14" t="str">
        <x:v>300gsm Oversized Cotton</x:v>
      </x:c>
      <x:c r="B110" s="14" t="n">
        <x:v>25</x:v>
      </x:c>
      <x:c r="C110" s="15" t="n">
        <x:v>699</x:v>
      </x:c>
      <x:c r="D110" s="15" t="n">
        <x:v>449</x:v>
      </x:c>
      <x:c r="E110" s="16" t="n">
        <x:v>0.3</x:v>
      </x:c>
      <x:c r="F110" s="15" t="n">
        <x:f>INDEX('Inputs'!$D$4:$D$6,MATCH(A110,'Inputs'!$A$4:$A$6,0))</x:f>
        <x:v>189</x:v>
      </x:c>
      <x:c r="G110" s="15" t="n">
        <x:f>INDEX('Inputs'!$E$4:$E$6,MATCH(A110,'Inputs'!$A$4:$A$6,0))</x:f>
        <x:v>85</x:v>
      </x:c>
      <x:c r="H110" s="15" t="n">
        <x:f>D110*(1-E110)</x:f>
        <x:v>314.29999999999995</x:v>
      </x:c>
      <x:c r="I110" s="15" t="n">
        <x:f>F110+G110</x:f>
        <x:v>274</x:v>
      </x:c>
      <x:c r="J110" s="15" t="n">
        <x:f>H110-I110</x:f>
        <x:v>40.299999999999955</x:v>
      </x:c>
      <x:c r="K110" s="16" t="n">
        <x:f>IFERROR(J110/H110,0)</x:f>
        <x:v>0.12822144447979625</x:v>
      </x:c>
      <x:c r="L110" s="14" t="str">
        <x:f>IF(J110&gt;0,"Provisional positive contribution","Not viable")</x:f>
        <x:v>Provisional positive contribution</x:v>
      </x:c>
    </x:row>
    <x:row r="111">
      <x:c r="A111" s="14" t="str">
        <x:v>300gsm Oversized Cotton</x:v>
      </x:c>
      <x:c r="B111" s="14" t="n">
        <x:v>25</x:v>
      </x:c>
      <x:c r="C111" s="15" t="n">
        <x:v>699</x:v>
      </x:c>
      <x:c r="D111" s="15" t="n">
        <x:v>449</x:v>
      </x:c>
      <x:c r="E111" s="16" t="n">
        <x:v>0.35</x:v>
      </x:c>
      <x:c r="F111" s="15" t="n">
        <x:f>INDEX('Inputs'!$D$4:$D$6,MATCH(A111,'Inputs'!$A$4:$A$6,0))</x:f>
        <x:v>189</x:v>
      </x:c>
      <x:c r="G111" s="15" t="n">
        <x:f>INDEX('Inputs'!$E$4:$E$6,MATCH(A111,'Inputs'!$A$4:$A$6,0))</x:f>
        <x:v>85</x:v>
      </x:c>
      <x:c r="H111" s="15" t="n">
        <x:f>D111*(1-E111)</x:f>
        <x:v>291.85</x:v>
      </x:c>
      <x:c r="I111" s="15" t="n">
        <x:f>F111+G111</x:f>
        <x:v>274</x:v>
      </x:c>
      <x:c r="J111" s="15" t="n">
        <x:f>H111-I111</x:f>
        <x:v>17.850000000000023</x:v>
      </x:c>
      <x:c r="K111" s="16" t="n">
        <x:f>IFERROR(J111/H111,0)</x:f>
        <x:v>0.06116155559362694</x:v>
      </x:c>
      <x:c r="L111" s="14" t="str">
        <x:f>IF(J111&gt;0,"Provisional positive contribution","Not viable")</x:f>
        <x:v>Provisional positive contribution</x:v>
      </x:c>
    </x:row>
    <x:row r="112">
      <x:c r="A112" s="14" t="str">
        <x:v>300gsm Oversized Cotton</x:v>
      </x:c>
      <x:c r="B112" s="14" t="n">
        <x:v>25</x:v>
      </x:c>
      <x:c r="C112" s="15" t="n">
        <x:v>699</x:v>
      </x:c>
      <x:c r="D112" s="15" t="n">
        <x:v>499</x:v>
      </x:c>
      <x:c r="E112" s="16" t="n">
        <x:v>0.2</x:v>
      </x:c>
      <x:c r="F112" s="15" t="n">
        <x:f>INDEX('Inputs'!$D$4:$D$6,MATCH(A112,'Inputs'!$A$4:$A$6,0))</x:f>
        <x:v>189</x:v>
      </x:c>
      <x:c r="G112" s="15" t="n">
        <x:f>INDEX('Inputs'!$E$4:$E$6,MATCH(A112,'Inputs'!$A$4:$A$6,0))</x:f>
        <x:v>85</x:v>
      </x:c>
      <x:c r="H112" s="15" t="n">
        <x:f>D112*(1-E112)</x:f>
        <x:v>399.20000000000005</x:v>
      </x:c>
      <x:c r="I112" s="15" t="n">
        <x:f>F112+G112</x:f>
        <x:v>274</x:v>
      </x:c>
      <x:c r="J112" s="15" t="n">
        <x:f>H112-I112</x:f>
        <x:v>125.20000000000005</x:v>
      </x:c>
      <x:c r="K112" s="16" t="n">
        <x:f>IFERROR(J112/H112,0)</x:f>
        <x:v>0.3136272545090181</x:v>
      </x:c>
      <x:c r="L112" s="14" t="str">
        <x:f>IF(J112&gt;0,"Provisional positive contribution","Not viable")</x:f>
        <x:v>Provisional positive contribution</x:v>
      </x:c>
    </x:row>
    <x:row r="113">
      <x:c r="A113" s="14" t="str">
        <x:v>300gsm Oversized Cotton</x:v>
      </x:c>
      <x:c r="B113" s="14" t="n">
        <x:v>25</x:v>
      </x:c>
      <x:c r="C113" s="15" t="n">
        <x:v>699</x:v>
      </x:c>
      <x:c r="D113" s="15" t="n">
        <x:v>499</x:v>
      </x:c>
      <x:c r="E113" s="16" t="n">
        <x:v>0.25</x:v>
      </x:c>
      <x:c r="F113" s="15" t="n">
        <x:f>INDEX('Inputs'!$D$4:$D$6,MATCH(A113,'Inputs'!$A$4:$A$6,0))</x:f>
        <x:v>189</x:v>
      </x:c>
      <x:c r="G113" s="15" t="n">
        <x:f>INDEX('Inputs'!$E$4:$E$6,MATCH(A113,'Inputs'!$A$4:$A$6,0))</x:f>
        <x:v>85</x:v>
      </x:c>
      <x:c r="H113" s="15" t="n">
        <x:f>D113*(1-E113)</x:f>
        <x:v>374.25</x:v>
      </x:c>
      <x:c r="I113" s="15" t="n">
        <x:f>F113+G113</x:f>
        <x:v>274</x:v>
      </x:c>
      <x:c r="J113" s="15" t="n">
        <x:f>H113-I113</x:f>
        <x:v>100.25</x:v>
      </x:c>
      <x:c r="K113" s="16" t="n">
        <x:f>IFERROR(J113/H113,0)</x:f>
        <x:v>0.2678690714762859</x:v>
      </x:c>
      <x:c r="L113" s="14" t="str">
        <x:f>IF(J113&gt;0,"Provisional positive contribution","Not viable")</x:f>
        <x:v>Provisional positive contribution</x:v>
      </x:c>
    </x:row>
    <x:row r="114">
      <x:c r="A114" s="14" t="str">
        <x:v>300gsm Oversized Cotton</x:v>
      </x:c>
      <x:c r="B114" s="14" t="n">
        <x:v>25</x:v>
      </x:c>
      <x:c r="C114" s="15" t="n">
        <x:v>699</x:v>
      </x:c>
      <x:c r="D114" s="15" t="n">
        <x:v>499</x:v>
      </x:c>
      <x:c r="E114" s="16" t="n">
        <x:v>0.3</x:v>
      </x:c>
      <x:c r="F114" s="15" t="n">
        <x:f>INDEX('Inputs'!$D$4:$D$6,MATCH(A114,'Inputs'!$A$4:$A$6,0))</x:f>
        <x:v>189</x:v>
      </x:c>
      <x:c r="G114" s="15" t="n">
        <x:f>INDEX('Inputs'!$E$4:$E$6,MATCH(A114,'Inputs'!$A$4:$A$6,0))</x:f>
        <x:v>85</x:v>
      </x:c>
      <x:c r="H114" s="15" t="n">
        <x:f>D114*(1-E114)</x:f>
        <x:v>349.29999999999995</x:v>
      </x:c>
      <x:c r="I114" s="15" t="n">
        <x:f>F114+G114</x:f>
        <x:v>274</x:v>
      </x:c>
      <x:c r="J114" s="15" t="n">
        <x:f>H114-I114</x:f>
        <x:v>75.29999999999995</x:v>
      </x:c>
      <x:c r="K114" s="16" t="n">
        <x:f>IFERROR(J114/H114,0)</x:f>
        <x:v>0.21557400515316336</x:v>
      </x:c>
      <x:c r="L114" s="14" t="str">
        <x:f>IF(J114&gt;0,"Provisional positive contribution","Not viable")</x:f>
        <x:v>Provisional positive contribution</x:v>
      </x:c>
    </x:row>
    <x:row r="115">
      <x:c r="A115" s="14" t="str">
        <x:v>300gsm Oversized Cotton</x:v>
      </x:c>
      <x:c r="B115" s="14" t="n">
        <x:v>25</x:v>
      </x:c>
      <x:c r="C115" s="15" t="n">
        <x:v>699</x:v>
      </x:c>
      <x:c r="D115" s="15" t="n">
        <x:v>499</x:v>
      </x:c>
      <x:c r="E115" s="16" t="n">
        <x:v>0.35</x:v>
      </x:c>
      <x:c r="F115" s="15" t="n">
        <x:f>INDEX('Inputs'!$D$4:$D$6,MATCH(A115,'Inputs'!$A$4:$A$6,0))</x:f>
        <x:v>189</x:v>
      </x:c>
      <x:c r="G115" s="15" t="n">
        <x:f>INDEX('Inputs'!$E$4:$E$6,MATCH(A115,'Inputs'!$A$4:$A$6,0))</x:f>
        <x:v>85</x:v>
      </x:c>
      <x:c r="H115" s="15" t="n">
        <x:f>D115*(1-E115)</x:f>
        <x:v>324.35</x:v>
      </x:c>
      <x:c r="I115" s="15" t="n">
        <x:f>F115+G115</x:f>
        <x:v>274</x:v>
      </x:c>
      <x:c r="J115" s="15" t="n">
        <x:f>H115-I115</x:f>
        <x:v>50.35000000000002</x:v>
      </x:c>
      <x:c r="K115" s="16" t="n">
        <x:f>IFERROR(J115/H115,0)</x:f>
        <x:v>0.15523354401109918</x:v>
      </x:c>
      <x:c r="L115" s="14" t="str">
        <x:f>IF(J115&gt;0,"Provisional positive contribution","Not viable")</x:f>
        <x:v>Provisional positive contribution</x:v>
      </x:c>
    </x:row>
    <x:row r="116">
      <x:c r="A116" s="14" t="str">
        <x:v>300gsm Oversized Cotton</x:v>
      </x:c>
      <x:c r="B116" s="14" t="n">
        <x:v>25</x:v>
      </x:c>
      <x:c r="C116" s="15" t="n">
        <x:v>749</x:v>
      </x:c>
      <x:c r="D116" s="15" t="n">
        <x:v>349</x:v>
      </x:c>
      <x:c r="E116" s="16" t="n">
        <x:v>0.2</x:v>
      </x:c>
      <x:c r="F116" s="15" t="n">
        <x:f>INDEX('Inputs'!$D$4:$D$6,MATCH(A116,'Inputs'!$A$4:$A$6,0))</x:f>
        <x:v>189</x:v>
      </x:c>
      <x:c r="G116" s="15" t="n">
        <x:f>INDEX('Inputs'!$E$4:$E$6,MATCH(A116,'Inputs'!$A$4:$A$6,0))</x:f>
        <x:v>85</x:v>
      </x:c>
      <x:c r="H116" s="15" t="n">
        <x:f>D116*(1-E116)</x:f>
        <x:v>279.2</x:v>
      </x:c>
      <x:c r="I116" s="15" t="n">
        <x:f>F116+G116</x:f>
        <x:v>274</x:v>
      </x:c>
      <x:c r="J116" s="15" t="n">
        <x:f>H116-I116</x:f>
        <x:v>5.199999999999989</x:v>
      </x:c>
      <x:c r="K116" s="16" t="n">
        <x:f>IFERROR(J116/H116,0)</x:f>
        <x:v>0.018624641833810848</x:v>
      </x:c>
      <x:c r="L116" s="14" t="str">
        <x:f>IF(J116&gt;0,"Provisional positive contribution","Not viable")</x:f>
        <x:v>Provisional positive contribution</x:v>
      </x:c>
    </x:row>
    <x:row r="117">
      <x:c r="A117" s="14" t="str">
        <x:v>300gsm Oversized Cotton</x:v>
      </x:c>
      <x:c r="B117" s="14" t="n">
        <x:v>25</x:v>
      </x:c>
      <x:c r="C117" s="15" t="n">
        <x:v>749</x:v>
      </x:c>
      <x:c r="D117" s="15" t="n">
        <x:v>349</x:v>
      </x:c>
      <x:c r="E117" s="16" t="n">
        <x:v>0.25</x:v>
      </x:c>
      <x:c r="F117" s="15" t="n">
        <x:f>INDEX('Inputs'!$D$4:$D$6,MATCH(A117,'Inputs'!$A$4:$A$6,0))</x:f>
        <x:v>189</x:v>
      </x:c>
      <x:c r="G117" s="15" t="n">
        <x:f>INDEX('Inputs'!$E$4:$E$6,MATCH(A117,'Inputs'!$A$4:$A$6,0))</x:f>
        <x:v>85</x:v>
      </x:c>
      <x:c r="H117" s="15" t="n">
        <x:f>D117*(1-E117)</x:f>
        <x:v>261.75</x:v>
      </x:c>
      <x:c r="I117" s="15" t="n">
        <x:f>F117+G117</x:f>
        <x:v>274</x:v>
      </x:c>
      <x:c r="J117" s="15" t="n">
        <x:f>H117-I117</x:f>
        <x:v>-12.25</x:v>
      </x:c>
      <x:c r="K117" s="16" t="n">
        <x:f>IFERROR(J117/H117,0)</x:f>
        <x:v>-0.04680038204393505</x:v>
      </x:c>
      <x:c r="L117" s="14" t="str">
        <x:f>IF(J117&gt;0,"Provisional positive contribution","Not viable")</x:f>
        <x:v>Not viable</x:v>
      </x:c>
    </x:row>
    <x:row r="118">
      <x:c r="A118" s="14" t="str">
        <x:v>300gsm Oversized Cotton</x:v>
      </x:c>
      <x:c r="B118" s="14" t="n">
        <x:v>25</x:v>
      </x:c>
      <x:c r="C118" s="15" t="n">
        <x:v>749</x:v>
      </x:c>
      <x:c r="D118" s="15" t="n">
        <x:v>349</x:v>
      </x:c>
      <x:c r="E118" s="16" t="n">
        <x:v>0.3</x:v>
      </x:c>
      <x:c r="F118" s="15" t="n">
        <x:f>INDEX('Inputs'!$D$4:$D$6,MATCH(A118,'Inputs'!$A$4:$A$6,0))</x:f>
        <x:v>189</x:v>
      </x:c>
      <x:c r="G118" s="15" t="n">
        <x:f>INDEX('Inputs'!$E$4:$E$6,MATCH(A118,'Inputs'!$A$4:$A$6,0))</x:f>
        <x:v>85</x:v>
      </x:c>
      <x:c r="H118" s="15" t="n">
        <x:f>D118*(1-E118)</x:f>
        <x:v>244.29999999999998</x:v>
      </x:c>
      <x:c r="I118" s="15" t="n">
        <x:f>F118+G118</x:f>
        <x:v>274</x:v>
      </x:c>
      <x:c r="J118" s="15" t="n">
        <x:f>H118-I118</x:f>
        <x:v>-29.700000000000017</x:v>
      </x:c>
      <x:c r="K118" s="16" t="n">
        <x:f>IFERROR(J118/H118,0)</x:f>
        <x:v>-0.1215718379042162</x:v>
      </x:c>
      <x:c r="L118" s="14" t="str">
        <x:f>IF(J118&gt;0,"Provisional positive contribution","Not viable")</x:f>
        <x:v>Not viable</x:v>
      </x:c>
    </x:row>
    <x:row r="119">
      <x:c r="A119" s="14" t="str">
        <x:v>300gsm Oversized Cotton</x:v>
      </x:c>
      <x:c r="B119" s="14" t="n">
        <x:v>25</x:v>
      </x:c>
      <x:c r="C119" s="15" t="n">
        <x:v>749</x:v>
      </x:c>
      <x:c r="D119" s="15" t="n">
        <x:v>349</x:v>
      </x:c>
      <x:c r="E119" s="16" t="n">
        <x:v>0.35</x:v>
      </x:c>
      <x:c r="F119" s="15" t="n">
        <x:f>INDEX('Inputs'!$D$4:$D$6,MATCH(A119,'Inputs'!$A$4:$A$6,0))</x:f>
        <x:v>189</x:v>
      </x:c>
      <x:c r="G119" s="15" t="n">
        <x:f>INDEX('Inputs'!$E$4:$E$6,MATCH(A119,'Inputs'!$A$4:$A$6,0))</x:f>
        <x:v>85</x:v>
      </x:c>
      <x:c r="H119" s="15" t="n">
        <x:f>D119*(1-E119)</x:f>
        <x:v>226.85</x:v>
      </x:c>
      <x:c r="I119" s="15" t="n">
        <x:f>F119+G119</x:f>
        <x:v>274</x:v>
      </x:c>
      <x:c r="J119" s="15" t="n">
        <x:f>H119-I119</x:f>
        <x:v>-47.150000000000006</x:v>
      </x:c>
      <x:c r="K119" s="16" t="n">
        <x:f>IFERROR(J119/H119,0)</x:f>
        <x:v>-0.20784659466607894</x:v>
      </x:c>
      <x:c r="L119" s="14" t="str">
        <x:f>IF(J119&gt;0,"Provisional positive contribution","Not viable")</x:f>
        <x:v>Not viable</x:v>
      </x:c>
    </x:row>
    <x:row r="120">
      <x:c r="A120" s="14" t="str">
        <x:v>300gsm Oversized Cotton</x:v>
      </x:c>
      <x:c r="B120" s="14" t="n">
        <x:v>25</x:v>
      </x:c>
      <x:c r="C120" s="15" t="n">
        <x:v>749</x:v>
      </x:c>
      <x:c r="D120" s="15" t="n">
        <x:v>399</x:v>
      </x:c>
      <x:c r="E120" s="16" t="n">
        <x:v>0.2</x:v>
      </x:c>
      <x:c r="F120" s="15" t="n">
        <x:f>INDEX('Inputs'!$D$4:$D$6,MATCH(A120,'Inputs'!$A$4:$A$6,0))</x:f>
        <x:v>189</x:v>
      </x:c>
      <x:c r="G120" s="15" t="n">
        <x:f>INDEX('Inputs'!$E$4:$E$6,MATCH(A120,'Inputs'!$A$4:$A$6,0))</x:f>
        <x:v>85</x:v>
      </x:c>
      <x:c r="H120" s="15" t="n">
        <x:f>D120*(1-E120)</x:f>
        <x:v>319.20000000000005</x:v>
      </x:c>
      <x:c r="I120" s="15" t="n">
        <x:f>F120+G120</x:f>
        <x:v>274</x:v>
      </x:c>
      <x:c r="J120" s="15" t="n">
        <x:f>H120-I120</x:f>
        <x:v>45.200000000000045</x:v>
      </x:c>
      <x:c r="K120" s="16" t="n">
        <x:f>IFERROR(J120/H120,0)</x:f>
        <x:v>0.1416040100250628</x:v>
      </x:c>
      <x:c r="L120" s="14" t="str">
        <x:f>IF(J120&gt;0,"Provisional positive contribution","Not viable")</x:f>
        <x:v>Provisional positive contribution</x:v>
      </x:c>
    </x:row>
    <x:row r="121">
      <x:c r="A121" s="14" t="str">
        <x:v>300gsm Oversized Cotton</x:v>
      </x:c>
      <x:c r="B121" s="14" t="n">
        <x:v>25</x:v>
      </x:c>
      <x:c r="C121" s="15" t="n">
        <x:v>749</x:v>
      </x:c>
      <x:c r="D121" s="15" t="n">
        <x:v>399</x:v>
      </x:c>
      <x:c r="E121" s="16" t="n">
        <x:v>0.25</x:v>
      </x:c>
      <x:c r="F121" s="15" t="n">
        <x:f>INDEX('Inputs'!$D$4:$D$6,MATCH(A121,'Inputs'!$A$4:$A$6,0))</x:f>
        <x:v>189</x:v>
      </x:c>
      <x:c r="G121" s="15" t="n">
        <x:f>INDEX('Inputs'!$E$4:$E$6,MATCH(A121,'Inputs'!$A$4:$A$6,0))</x:f>
        <x:v>85</x:v>
      </x:c>
      <x:c r="H121" s="15" t="n">
        <x:f>D121*(1-E121)</x:f>
        <x:v>299.25</x:v>
      </x:c>
      <x:c r="I121" s="15" t="n">
        <x:f>F121+G121</x:f>
        <x:v>274</x:v>
      </x:c>
      <x:c r="J121" s="15" t="n">
        <x:f>H121-I121</x:f>
        <x:v>25.25</x:v>
      </x:c>
      <x:c r="K121" s="16" t="n">
        <x:f>IFERROR(J121/H121,0)</x:f>
        <x:v>0.08437761069340016</x:v>
      </x:c>
      <x:c r="L121" s="14" t="str">
        <x:f>IF(J121&gt;0,"Provisional positive contribution","Not viable")</x:f>
        <x:v>Provisional positive contribution</x:v>
      </x:c>
    </x:row>
    <x:row r="122">
      <x:c r="A122" s="14" t="str">
        <x:v>300gsm Oversized Cotton</x:v>
      </x:c>
      <x:c r="B122" s="14" t="n">
        <x:v>25</x:v>
      </x:c>
      <x:c r="C122" s="15" t="n">
        <x:v>749</x:v>
      </x:c>
      <x:c r="D122" s="15" t="n">
        <x:v>399</x:v>
      </x:c>
      <x:c r="E122" s="16" t="n">
        <x:v>0.3</x:v>
      </x:c>
      <x:c r="F122" s="15" t="n">
        <x:f>INDEX('Inputs'!$D$4:$D$6,MATCH(A122,'Inputs'!$A$4:$A$6,0))</x:f>
        <x:v>189</x:v>
      </x:c>
      <x:c r="G122" s="15" t="n">
        <x:f>INDEX('Inputs'!$E$4:$E$6,MATCH(A122,'Inputs'!$A$4:$A$6,0))</x:f>
        <x:v>85</x:v>
      </x:c>
      <x:c r="H122" s="15" t="n">
        <x:f>D122*(1-E122)</x:f>
        <x:v>279.29999999999995</x:v>
      </x:c>
      <x:c r="I122" s="15" t="n">
        <x:f>F122+G122</x:f>
        <x:v>274</x:v>
      </x:c>
      <x:c r="J122" s="15" t="n">
        <x:f>H122-I122</x:f>
        <x:v>5.2999999999999545</x:v>
      </x:c>
      <x:c r="K122" s="16" t="n">
        <x:f>IFERROR(J122/H122,0)</x:f>
        <x:v>0.018976011457214306</x:v>
      </x:c>
      <x:c r="L122" s="14" t="str">
        <x:f>IF(J122&gt;0,"Provisional positive contribution","Not viable")</x:f>
        <x:v>Provisional positive contribution</x:v>
      </x:c>
    </x:row>
    <x:row r="123">
      <x:c r="A123" s="14" t="str">
        <x:v>300gsm Oversized Cotton</x:v>
      </x:c>
      <x:c r="B123" s="14" t="n">
        <x:v>25</x:v>
      </x:c>
      <x:c r="C123" s="15" t="n">
        <x:v>749</x:v>
      </x:c>
      <x:c r="D123" s="15" t="n">
        <x:v>399</x:v>
      </x:c>
      <x:c r="E123" s="16" t="n">
        <x:v>0.35</x:v>
      </x:c>
      <x:c r="F123" s="15" t="n">
        <x:f>INDEX('Inputs'!$D$4:$D$6,MATCH(A123,'Inputs'!$A$4:$A$6,0))</x:f>
        <x:v>189</x:v>
      </x:c>
      <x:c r="G123" s="15" t="n">
        <x:f>INDEX('Inputs'!$E$4:$E$6,MATCH(A123,'Inputs'!$A$4:$A$6,0))</x:f>
        <x:v>85</x:v>
      </x:c>
      <x:c r="H123" s="15" t="n">
        <x:f>D123*(1-E123)</x:f>
        <x:v>259.35</x:v>
      </x:c>
      <x:c r="I123" s="15" t="n">
        <x:f>F123+G123</x:f>
        <x:v>274</x:v>
      </x:c>
      <x:c r="J123" s="15" t="n">
        <x:f>H123-I123</x:f>
        <x:v>-14.649999999999977</x:v>
      </x:c>
      <x:c r="K123" s="16" t="n">
        <x:f>IFERROR(J123/H123,0)</x:f>
        <x:v>-0.05648737227684587</x:v>
      </x:c>
      <x:c r="L123" s="14" t="str">
        <x:f>IF(J123&gt;0,"Provisional positive contribution","Not viable")</x:f>
        <x:v>Not viable</x:v>
      </x:c>
    </x:row>
    <x:row r="124">
      <x:c r="A124" s="14" t="str">
        <x:v>300gsm Oversized Cotton</x:v>
      </x:c>
      <x:c r="B124" s="14" t="n">
        <x:v>25</x:v>
      </x:c>
      <x:c r="C124" s="15" t="n">
        <x:v>749</x:v>
      </x:c>
      <x:c r="D124" s="15" t="n">
        <x:v>449</x:v>
      </x:c>
      <x:c r="E124" s="16" t="n">
        <x:v>0.2</x:v>
      </x:c>
      <x:c r="F124" s="15" t="n">
        <x:f>INDEX('Inputs'!$D$4:$D$6,MATCH(A124,'Inputs'!$A$4:$A$6,0))</x:f>
        <x:v>189</x:v>
      </x:c>
      <x:c r="G124" s="15" t="n">
        <x:f>INDEX('Inputs'!$E$4:$E$6,MATCH(A124,'Inputs'!$A$4:$A$6,0))</x:f>
        <x:v>85</x:v>
      </x:c>
      <x:c r="H124" s="15" t="n">
        <x:f>D124*(1-E124)</x:f>
        <x:v>359.20000000000005</x:v>
      </x:c>
      <x:c r="I124" s="15" t="n">
        <x:f>F124+G124</x:f>
        <x:v>274</x:v>
      </x:c>
      <x:c r="J124" s="15" t="n">
        <x:f>H124-I124</x:f>
        <x:v>85.20000000000005</x:v>
      </x:c>
      <x:c r="K124" s="16" t="n">
        <x:f>IFERROR(J124/H124,0)</x:f>
        <x:v>0.23719376391982191</x:v>
      </x:c>
      <x:c r="L124" s="14" t="str">
        <x:f>IF(J124&gt;0,"Provisional positive contribution","Not viable")</x:f>
        <x:v>Provisional positive contribution</x:v>
      </x:c>
    </x:row>
    <x:row r="125">
      <x:c r="A125" s="14" t="str">
        <x:v>300gsm Oversized Cotton</x:v>
      </x:c>
      <x:c r="B125" s="14" t="n">
        <x:v>25</x:v>
      </x:c>
      <x:c r="C125" s="15" t="n">
        <x:v>749</x:v>
      </x:c>
      <x:c r="D125" s="15" t="n">
        <x:v>449</x:v>
      </x:c>
      <x:c r="E125" s="16" t="n">
        <x:v>0.25</x:v>
      </x:c>
      <x:c r="F125" s="15" t="n">
        <x:f>INDEX('Inputs'!$D$4:$D$6,MATCH(A125,'Inputs'!$A$4:$A$6,0))</x:f>
        <x:v>189</x:v>
      </x:c>
      <x:c r="G125" s="15" t="n">
        <x:f>INDEX('Inputs'!$E$4:$E$6,MATCH(A125,'Inputs'!$A$4:$A$6,0))</x:f>
        <x:v>85</x:v>
      </x:c>
      <x:c r="H125" s="15" t="n">
        <x:f>D125*(1-E125)</x:f>
        <x:v>336.75</x:v>
      </x:c>
      <x:c r="I125" s="15" t="n">
        <x:f>F125+G125</x:f>
        <x:v>274</x:v>
      </x:c>
      <x:c r="J125" s="15" t="n">
        <x:f>H125-I125</x:f>
        <x:v>62.75</x:v>
      </x:c>
      <x:c r="K125" s="16" t="n">
        <x:f>IFERROR(J125/H125,0)</x:f>
        <x:v>0.18634001484780996</x:v>
      </x:c>
      <x:c r="L125" s="14" t="str">
        <x:f>IF(J125&gt;0,"Provisional positive contribution","Not viable")</x:f>
        <x:v>Provisional positive contribution</x:v>
      </x:c>
    </x:row>
    <x:row r="126">
      <x:c r="A126" s="14" t="str">
        <x:v>300gsm Oversized Cotton</x:v>
      </x:c>
      <x:c r="B126" s="14" t="n">
        <x:v>25</x:v>
      </x:c>
      <x:c r="C126" s="15" t="n">
        <x:v>749</x:v>
      </x:c>
      <x:c r="D126" s="15" t="n">
        <x:v>449</x:v>
      </x:c>
      <x:c r="E126" s="16" t="n">
        <x:v>0.3</x:v>
      </x:c>
      <x:c r="F126" s="15" t="n">
        <x:f>INDEX('Inputs'!$D$4:$D$6,MATCH(A126,'Inputs'!$A$4:$A$6,0))</x:f>
        <x:v>189</x:v>
      </x:c>
      <x:c r="G126" s="15" t="n">
        <x:f>INDEX('Inputs'!$E$4:$E$6,MATCH(A126,'Inputs'!$A$4:$A$6,0))</x:f>
        <x:v>85</x:v>
      </x:c>
      <x:c r="H126" s="15" t="n">
        <x:f>D126*(1-E126)</x:f>
        <x:v>314.29999999999995</x:v>
      </x:c>
      <x:c r="I126" s="15" t="n">
        <x:f>F126+G126</x:f>
        <x:v>274</x:v>
      </x:c>
      <x:c r="J126" s="15" t="n">
        <x:f>H126-I126</x:f>
        <x:v>40.299999999999955</x:v>
      </x:c>
      <x:c r="K126" s="16" t="n">
        <x:f>IFERROR(J126/H126,0)</x:f>
        <x:v>0.12822144447979625</x:v>
      </x:c>
      <x:c r="L126" s="14" t="str">
        <x:f>IF(J126&gt;0,"Provisional positive contribution","Not viable")</x:f>
        <x:v>Provisional positive contribution</x:v>
      </x:c>
    </x:row>
    <x:row r="127">
      <x:c r="A127" s="14" t="str">
        <x:v>300gsm Oversized Cotton</x:v>
      </x:c>
      <x:c r="B127" s="14" t="n">
        <x:v>25</x:v>
      </x:c>
      <x:c r="C127" s="15" t="n">
        <x:v>749</x:v>
      </x:c>
      <x:c r="D127" s="15" t="n">
        <x:v>449</x:v>
      </x:c>
      <x:c r="E127" s="16" t="n">
        <x:v>0.35</x:v>
      </x:c>
      <x:c r="F127" s="15" t="n">
        <x:f>INDEX('Inputs'!$D$4:$D$6,MATCH(A127,'Inputs'!$A$4:$A$6,0))</x:f>
        <x:v>189</x:v>
      </x:c>
      <x:c r="G127" s="15" t="n">
        <x:f>INDEX('Inputs'!$E$4:$E$6,MATCH(A127,'Inputs'!$A$4:$A$6,0))</x:f>
        <x:v>85</x:v>
      </x:c>
      <x:c r="H127" s="15" t="n">
        <x:f>D127*(1-E127)</x:f>
        <x:v>291.85</x:v>
      </x:c>
      <x:c r="I127" s="15" t="n">
        <x:f>F127+G127</x:f>
        <x:v>274</x:v>
      </x:c>
      <x:c r="J127" s="15" t="n">
        <x:f>H127-I127</x:f>
        <x:v>17.850000000000023</x:v>
      </x:c>
      <x:c r="K127" s="16" t="n">
        <x:f>IFERROR(J127/H127,0)</x:f>
        <x:v>0.06116155559362694</x:v>
      </x:c>
      <x:c r="L127" s="14" t="str">
        <x:f>IF(J127&gt;0,"Provisional positive contribution","Not viable")</x:f>
        <x:v>Provisional positive contribution</x:v>
      </x:c>
    </x:row>
    <x:row r="128">
      <x:c r="A128" s="14" t="str">
        <x:v>300gsm Oversized Cotton</x:v>
      </x:c>
      <x:c r="B128" s="14" t="n">
        <x:v>25</x:v>
      </x:c>
      <x:c r="C128" s="15" t="n">
        <x:v>749</x:v>
      </x:c>
      <x:c r="D128" s="15" t="n">
        <x:v>499</x:v>
      </x:c>
      <x:c r="E128" s="16" t="n">
        <x:v>0.2</x:v>
      </x:c>
      <x:c r="F128" s="15" t="n">
        <x:f>INDEX('Inputs'!$D$4:$D$6,MATCH(A128,'Inputs'!$A$4:$A$6,0))</x:f>
        <x:v>189</x:v>
      </x:c>
      <x:c r="G128" s="15" t="n">
        <x:f>INDEX('Inputs'!$E$4:$E$6,MATCH(A128,'Inputs'!$A$4:$A$6,0))</x:f>
        <x:v>85</x:v>
      </x:c>
      <x:c r="H128" s="15" t="n">
        <x:f>D128*(1-E128)</x:f>
        <x:v>399.20000000000005</x:v>
      </x:c>
      <x:c r="I128" s="15" t="n">
        <x:f>F128+G128</x:f>
        <x:v>274</x:v>
      </x:c>
      <x:c r="J128" s="15" t="n">
        <x:f>H128-I128</x:f>
        <x:v>125.20000000000005</x:v>
      </x:c>
      <x:c r="K128" s="16" t="n">
        <x:f>IFERROR(J128/H128,0)</x:f>
        <x:v>0.3136272545090181</x:v>
      </x:c>
      <x:c r="L128" s="14" t="str">
        <x:f>IF(J128&gt;0,"Provisional positive contribution","Not viable")</x:f>
        <x:v>Provisional positive contribution</x:v>
      </x:c>
    </x:row>
    <x:row r="129">
      <x:c r="A129" s="14" t="str">
        <x:v>300gsm Oversized Cotton</x:v>
      </x:c>
      <x:c r="B129" s="14" t="n">
        <x:v>25</x:v>
      </x:c>
      <x:c r="C129" s="15" t="n">
        <x:v>749</x:v>
      </x:c>
      <x:c r="D129" s="15" t="n">
        <x:v>499</x:v>
      </x:c>
      <x:c r="E129" s="16" t="n">
        <x:v>0.25</x:v>
      </x:c>
      <x:c r="F129" s="15" t="n">
        <x:f>INDEX('Inputs'!$D$4:$D$6,MATCH(A129,'Inputs'!$A$4:$A$6,0))</x:f>
        <x:v>189</x:v>
      </x:c>
      <x:c r="G129" s="15" t="n">
        <x:f>INDEX('Inputs'!$E$4:$E$6,MATCH(A129,'Inputs'!$A$4:$A$6,0))</x:f>
        <x:v>85</x:v>
      </x:c>
      <x:c r="H129" s="15" t="n">
        <x:f>D129*(1-E129)</x:f>
        <x:v>374.25</x:v>
      </x:c>
      <x:c r="I129" s="15" t="n">
        <x:f>F129+G129</x:f>
        <x:v>274</x:v>
      </x:c>
      <x:c r="J129" s="15" t="n">
        <x:f>H129-I129</x:f>
        <x:v>100.25</x:v>
      </x:c>
      <x:c r="K129" s="16" t="n">
        <x:f>IFERROR(J129/H129,0)</x:f>
        <x:v>0.2678690714762859</x:v>
      </x:c>
      <x:c r="L129" s="14" t="str">
        <x:f>IF(J129&gt;0,"Provisional positive contribution","Not viable")</x:f>
        <x:v>Provisional positive contribution</x:v>
      </x:c>
    </x:row>
    <x:row r="130">
      <x:c r="A130" s="14" t="str">
        <x:v>300gsm Oversized Cotton</x:v>
      </x:c>
      <x:c r="B130" s="14" t="n">
        <x:v>25</x:v>
      </x:c>
      <x:c r="C130" s="15" t="n">
        <x:v>749</x:v>
      </x:c>
      <x:c r="D130" s="15" t="n">
        <x:v>499</x:v>
      </x:c>
      <x:c r="E130" s="16" t="n">
        <x:v>0.3</x:v>
      </x:c>
      <x:c r="F130" s="15" t="n">
        <x:f>INDEX('Inputs'!$D$4:$D$6,MATCH(A130,'Inputs'!$A$4:$A$6,0))</x:f>
        <x:v>189</x:v>
      </x:c>
      <x:c r="G130" s="15" t="n">
        <x:f>INDEX('Inputs'!$E$4:$E$6,MATCH(A130,'Inputs'!$A$4:$A$6,0))</x:f>
        <x:v>85</x:v>
      </x:c>
      <x:c r="H130" s="15" t="n">
        <x:f>D130*(1-E130)</x:f>
        <x:v>349.29999999999995</x:v>
      </x:c>
      <x:c r="I130" s="15" t="n">
        <x:f>F130+G130</x:f>
        <x:v>274</x:v>
      </x:c>
      <x:c r="J130" s="15" t="n">
        <x:f>H130-I130</x:f>
        <x:v>75.29999999999995</x:v>
      </x:c>
      <x:c r="K130" s="16" t="n">
        <x:f>IFERROR(J130/H130,0)</x:f>
        <x:v>0.21557400515316336</x:v>
      </x:c>
      <x:c r="L130" s="14" t="str">
        <x:f>IF(J130&gt;0,"Provisional positive contribution","Not viable")</x:f>
        <x:v>Provisional positive contribution</x:v>
      </x:c>
    </x:row>
    <x:row r="131">
      <x:c r="A131" s="14" t="str">
        <x:v>300gsm Oversized Cotton</x:v>
      </x:c>
      <x:c r="B131" s="14" t="n">
        <x:v>25</x:v>
      </x:c>
      <x:c r="C131" s="15" t="n">
        <x:v>749</x:v>
      </x:c>
      <x:c r="D131" s="15" t="n">
        <x:v>499</x:v>
      </x:c>
      <x:c r="E131" s="16" t="n">
        <x:v>0.35</x:v>
      </x:c>
      <x:c r="F131" s="15" t="n">
        <x:f>INDEX('Inputs'!$D$4:$D$6,MATCH(A131,'Inputs'!$A$4:$A$6,0))</x:f>
        <x:v>189</x:v>
      </x:c>
      <x:c r="G131" s="15" t="n">
        <x:f>INDEX('Inputs'!$E$4:$E$6,MATCH(A131,'Inputs'!$A$4:$A$6,0))</x:f>
        <x:v>85</x:v>
      </x:c>
      <x:c r="H131" s="15" t="n">
        <x:f>D131*(1-E131)</x:f>
        <x:v>324.35</x:v>
      </x:c>
      <x:c r="I131" s="15" t="n">
        <x:f>F131+G131</x:f>
        <x:v>274</x:v>
      </x:c>
      <x:c r="J131" s="15" t="n">
        <x:f>H131-I131</x:f>
        <x:v>50.35000000000002</x:v>
      </x:c>
      <x:c r="K131" s="16" t="n">
        <x:f>IFERROR(J131/H131,0)</x:f>
        <x:v>0.15523354401109918</x:v>
      </x:c>
      <x:c r="L131" s="14" t="str">
        <x:f>IF(J131&gt;0,"Provisional positive contribution","Not viable")</x:f>
        <x:v>Provisional positive contribution</x:v>
      </x:c>
    </x:row>
    <x:row r="132">
      <x:c r="A132" s="14" t="str">
        <x:v>300gsm Oversized Cotton</x:v>
      </x:c>
      <x:c r="B132" s="14" t="n">
        <x:v>50</x:v>
      </x:c>
      <x:c r="C132" s="15" t="n">
        <x:v>599</x:v>
      </x:c>
      <x:c r="D132" s="15" t="n">
        <x:v>349</x:v>
      </x:c>
      <x:c r="E132" s="16" t="n">
        <x:v>0.2</x:v>
      </x:c>
      <x:c r="F132" s="15" t="n">
        <x:f>INDEX('Inputs'!$D$4:$D$6,MATCH(A132,'Inputs'!$A$4:$A$6,0))</x:f>
        <x:v>189</x:v>
      </x:c>
      <x:c r="G132" s="15" t="n">
        <x:f>INDEX('Inputs'!$E$4:$E$6,MATCH(A132,'Inputs'!$A$4:$A$6,0))</x:f>
        <x:v>85</x:v>
      </x:c>
      <x:c r="H132" s="15" t="n">
        <x:f>D132*(1-E132)</x:f>
        <x:v>279.2</x:v>
      </x:c>
      <x:c r="I132" s="15" t="n">
        <x:f>F132+G132</x:f>
        <x:v>274</x:v>
      </x:c>
      <x:c r="J132" s="15" t="n">
        <x:f>H132-I132</x:f>
        <x:v>5.199999999999989</x:v>
      </x:c>
      <x:c r="K132" s="16" t="n">
        <x:f>IFERROR(J132/H132,0)</x:f>
        <x:v>0.018624641833810848</x:v>
      </x:c>
      <x:c r="L132" s="14" t="str">
        <x:f>IF(J132&gt;0,"Provisional positive contribution","Not viable")</x:f>
        <x:v>Provisional positive contribution</x:v>
      </x:c>
    </x:row>
    <x:row r="133">
      <x:c r="A133" s="14" t="str">
        <x:v>300gsm Oversized Cotton</x:v>
      </x:c>
      <x:c r="B133" s="14" t="n">
        <x:v>50</x:v>
      </x:c>
      <x:c r="C133" s="15" t="n">
        <x:v>599</x:v>
      </x:c>
      <x:c r="D133" s="15" t="n">
        <x:v>349</x:v>
      </x:c>
      <x:c r="E133" s="16" t="n">
        <x:v>0.25</x:v>
      </x:c>
      <x:c r="F133" s="15" t="n">
        <x:f>INDEX('Inputs'!$D$4:$D$6,MATCH(A133,'Inputs'!$A$4:$A$6,0))</x:f>
        <x:v>189</x:v>
      </x:c>
      <x:c r="G133" s="15" t="n">
        <x:f>INDEX('Inputs'!$E$4:$E$6,MATCH(A133,'Inputs'!$A$4:$A$6,0))</x:f>
        <x:v>85</x:v>
      </x:c>
      <x:c r="H133" s="15" t="n">
        <x:f>D133*(1-E133)</x:f>
        <x:v>261.75</x:v>
      </x:c>
      <x:c r="I133" s="15" t="n">
        <x:f>F133+G133</x:f>
        <x:v>274</x:v>
      </x:c>
      <x:c r="J133" s="15" t="n">
        <x:f>H133-I133</x:f>
        <x:v>-12.25</x:v>
      </x:c>
      <x:c r="K133" s="16" t="n">
        <x:f>IFERROR(J133/H133,0)</x:f>
        <x:v>-0.04680038204393505</x:v>
      </x:c>
      <x:c r="L133" s="14" t="str">
        <x:f>IF(J133&gt;0,"Provisional positive contribution","Not viable")</x:f>
        <x:v>Not viable</x:v>
      </x:c>
    </x:row>
    <x:row r="134">
      <x:c r="A134" s="14" t="str">
        <x:v>300gsm Oversized Cotton</x:v>
      </x:c>
      <x:c r="B134" s="14" t="n">
        <x:v>50</x:v>
      </x:c>
      <x:c r="C134" s="15" t="n">
        <x:v>599</x:v>
      </x:c>
      <x:c r="D134" s="15" t="n">
        <x:v>349</x:v>
      </x:c>
      <x:c r="E134" s="16" t="n">
        <x:v>0.3</x:v>
      </x:c>
      <x:c r="F134" s="15" t="n">
        <x:f>INDEX('Inputs'!$D$4:$D$6,MATCH(A134,'Inputs'!$A$4:$A$6,0))</x:f>
        <x:v>189</x:v>
      </x:c>
      <x:c r="G134" s="15" t="n">
        <x:f>INDEX('Inputs'!$E$4:$E$6,MATCH(A134,'Inputs'!$A$4:$A$6,0))</x:f>
        <x:v>85</x:v>
      </x:c>
      <x:c r="H134" s="15" t="n">
        <x:f>D134*(1-E134)</x:f>
        <x:v>244.29999999999998</x:v>
      </x:c>
      <x:c r="I134" s="15" t="n">
        <x:f>F134+G134</x:f>
        <x:v>274</x:v>
      </x:c>
      <x:c r="J134" s="15" t="n">
        <x:f>H134-I134</x:f>
        <x:v>-29.700000000000017</x:v>
      </x:c>
      <x:c r="K134" s="16" t="n">
        <x:f>IFERROR(J134/H134,0)</x:f>
        <x:v>-0.1215718379042162</x:v>
      </x:c>
      <x:c r="L134" s="14" t="str">
        <x:f>IF(J134&gt;0,"Provisional positive contribution","Not viable")</x:f>
        <x:v>Not viable</x:v>
      </x:c>
    </x:row>
    <x:row r="135">
      <x:c r="A135" s="14" t="str">
        <x:v>300gsm Oversized Cotton</x:v>
      </x:c>
      <x:c r="B135" s="14" t="n">
        <x:v>50</x:v>
      </x:c>
      <x:c r="C135" s="15" t="n">
        <x:v>599</x:v>
      </x:c>
      <x:c r="D135" s="15" t="n">
        <x:v>349</x:v>
      </x:c>
      <x:c r="E135" s="16" t="n">
        <x:v>0.35</x:v>
      </x:c>
      <x:c r="F135" s="15" t="n">
        <x:f>INDEX('Inputs'!$D$4:$D$6,MATCH(A135,'Inputs'!$A$4:$A$6,0))</x:f>
        <x:v>189</x:v>
      </x:c>
      <x:c r="G135" s="15" t="n">
        <x:f>INDEX('Inputs'!$E$4:$E$6,MATCH(A135,'Inputs'!$A$4:$A$6,0))</x:f>
        <x:v>85</x:v>
      </x:c>
      <x:c r="H135" s="15" t="n">
        <x:f>D135*(1-E135)</x:f>
        <x:v>226.85</x:v>
      </x:c>
      <x:c r="I135" s="15" t="n">
        <x:f>F135+G135</x:f>
        <x:v>274</x:v>
      </x:c>
      <x:c r="J135" s="15" t="n">
        <x:f>H135-I135</x:f>
        <x:v>-47.150000000000006</x:v>
      </x:c>
      <x:c r="K135" s="16" t="n">
        <x:f>IFERROR(J135/H135,0)</x:f>
        <x:v>-0.20784659466607894</x:v>
      </x:c>
      <x:c r="L135" s="14" t="str">
        <x:f>IF(J135&gt;0,"Provisional positive contribution","Not viable")</x:f>
        <x:v>Not viable</x:v>
      </x:c>
    </x:row>
    <x:row r="136">
      <x:c r="A136" s="14" t="str">
        <x:v>300gsm Oversized Cotton</x:v>
      </x:c>
      <x:c r="B136" s="14" t="n">
        <x:v>50</x:v>
      </x:c>
      <x:c r="C136" s="15" t="n">
        <x:v>599</x:v>
      </x:c>
      <x:c r="D136" s="15" t="n">
        <x:v>399</x:v>
      </x:c>
      <x:c r="E136" s="16" t="n">
        <x:v>0.2</x:v>
      </x:c>
      <x:c r="F136" s="15" t="n">
        <x:f>INDEX('Inputs'!$D$4:$D$6,MATCH(A136,'Inputs'!$A$4:$A$6,0))</x:f>
        <x:v>189</x:v>
      </x:c>
      <x:c r="G136" s="15" t="n">
        <x:f>INDEX('Inputs'!$E$4:$E$6,MATCH(A136,'Inputs'!$A$4:$A$6,0))</x:f>
        <x:v>85</x:v>
      </x:c>
      <x:c r="H136" s="15" t="n">
        <x:f>D136*(1-E136)</x:f>
        <x:v>319.20000000000005</x:v>
      </x:c>
      <x:c r="I136" s="15" t="n">
        <x:f>F136+G136</x:f>
        <x:v>274</x:v>
      </x:c>
      <x:c r="J136" s="15" t="n">
        <x:f>H136-I136</x:f>
        <x:v>45.200000000000045</x:v>
      </x:c>
      <x:c r="K136" s="16" t="n">
        <x:f>IFERROR(J136/H136,0)</x:f>
        <x:v>0.1416040100250628</x:v>
      </x:c>
      <x:c r="L136" s="14" t="str">
        <x:f>IF(J136&gt;0,"Provisional positive contribution","Not viable")</x:f>
        <x:v>Provisional positive contribution</x:v>
      </x:c>
    </x:row>
    <x:row r="137">
      <x:c r="A137" s="14" t="str">
        <x:v>300gsm Oversized Cotton</x:v>
      </x:c>
      <x:c r="B137" s="14" t="n">
        <x:v>50</x:v>
      </x:c>
      <x:c r="C137" s="15" t="n">
        <x:v>599</x:v>
      </x:c>
      <x:c r="D137" s="15" t="n">
        <x:v>399</x:v>
      </x:c>
      <x:c r="E137" s="16" t="n">
        <x:v>0.25</x:v>
      </x:c>
      <x:c r="F137" s="15" t="n">
        <x:f>INDEX('Inputs'!$D$4:$D$6,MATCH(A137,'Inputs'!$A$4:$A$6,0))</x:f>
        <x:v>189</x:v>
      </x:c>
      <x:c r="G137" s="15" t="n">
        <x:f>INDEX('Inputs'!$E$4:$E$6,MATCH(A137,'Inputs'!$A$4:$A$6,0))</x:f>
        <x:v>85</x:v>
      </x:c>
      <x:c r="H137" s="15" t="n">
        <x:f>D137*(1-E137)</x:f>
        <x:v>299.25</x:v>
      </x:c>
      <x:c r="I137" s="15" t="n">
        <x:f>F137+G137</x:f>
        <x:v>274</x:v>
      </x:c>
      <x:c r="J137" s="15" t="n">
        <x:f>H137-I137</x:f>
        <x:v>25.25</x:v>
      </x:c>
      <x:c r="K137" s="16" t="n">
        <x:f>IFERROR(J137/H137,0)</x:f>
        <x:v>0.08437761069340016</x:v>
      </x:c>
      <x:c r="L137" s="14" t="str">
        <x:f>IF(J137&gt;0,"Provisional positive contribution","Not viable")</x:f>
        <x:v>Provisional positive contribution</x:v>
      </x:c>
    </x:row>
    <x:row r="138">
      <x:c r="A138" s="14" t="str">
        <x:v>300gsm Oversized Cotton</x:v>
      </x:c>
      <x:c r="B138" s="14" t="n">
        <x:v>50</x:v>
      </x:c>
      <x:c r="C138" s="15" t="n">
        <x:v>599</x:v>
      </x:c>
      <x:c r="D138" s="15" t="n">
        <x:v>399</x:v>
      </x:c>
      <x:c r="E138" s="16" t="n">
        <x:v>0.3</x:v>
      </x:c>
      <x:c r="F138" s="15" t="n">
        <x:f>INDEX('Inputs'!$D$4:$D$6,MATCH(A138,'Inputs'!$A$4:$A$6,0))</x:f>
        <x:v>189</x:v>
      </x:c>
      <x:c r="G138" s="15" t="n">
        <x:f>INDEX('Inputs'!$E$4:$E$6,MATCH(A138,'Inputs'!$A$4:$A$6,0))</x:f>
        <x:v>85</x:v>
      </x:c>
      <x:c r="H138" s="15" t="n">
        <x:f>D138*(1-E138)</x:f>
        <x:v>279.29999999999995</x:v>
      </x:c>
      <x:c r="I138" s="15" t="n">
        <x:f>F138+G138</x:f>
        <x:v>274</x:v>
      </x:c>
      <x:c r="J138" s="15" t="n">
        <x:f>H138-I138</x:f>
        <x:v>5.2999999999999545</x:v>
      </x:c>
      <x:c r="K138" s="16" t="n">
        <x:f>IFERROR(J138/H138,0)</x:f>
        <x:v>0.018976011457214306</x:v>
      </x:c>
      <x:c r="L138" s="14" t="str">
        <x:f>IF(J138&gt;0,"Provisional positive contribution","Not viable")</x:f>
        <x:v>Provisional positive contribution</x:v>
      </x:c>
    </x:row>
    <x:row r="139">
      <x:c r="A139" s="14" t="str">
        <x:v>300gsm Oversized Cotton</x:v>
      </x:c>
      <x:c r="B139" s="14" t="n">
        <x:v>50</x:v>
      </x:c>
      <x:c r="C139" s="15" t="n">
        <x:v>599</x:v>
      </x:c>
      <x:c r="D139" s="15" t="n">
        <x:v>399</x:v>
      </x:c>
      <x:c r="E139" s="16" t="n">
        <x:v>0.35</x:v>
      </x:c>
      <x:c r="F139" s="15" t="n">
        <x:f>INDEX('Inputs'!$D$4:$D$6,MATCH(A139,'Inputs'!$A$4:$A$6,0))</x:f>
        <x:v>189</x:v>
      </x:c>
      <x:c r="G139" s="15" t="n">
        <x:f>INDEX('Inputs'!$E$4:$E$6,MATCH(A139,'Inputs'!$A$4:$A$6,0))</x:f>
        <x:v>85</x:v>
      </x:c>
      <x:c r="H139" s="15" t="n">
        <x:f>D139*(1-E139)</x:f>
        <x:v>259.35</x:v>
      </x:c>
      <x:c r="I139" s="15" t="n">
        <x:f>F139+G139</x:f>
        <x:v>274</x:v>
      </x:c>
      <x:c r="J139" s="15" t="n">
        <x:f>H139-I139</x:f>
        <x:v>-14.649999999999977</x:v>
      </x:c>
      <x:c r="K139" s="16" t="n">
        <x:f>IFERROR(J139/H139,0)</x:f>
        <x:v>-0.05648737227684587</x:v>
      </x:c>
      <x:c r="L139" s="14" t="str">
        <x:f>IF(J139&gt;0,"Provisional positive contribution","Not viable")</x:f>
        <x:v>Not viable</x:v>
      </x:c>
    </x:row>
    <x:row r="140">
      <x:c r="A140" s="14" t="str">
        <x:v>300gsm Oversized Cotton</x:v>
      </x:c>
      <x:c r="B140" s="14" t="n">
        <x:v>50</x:v>
      </x:c>
      <x:c r="C140" s="15" t="n">
        <x:v>599</x:v>
      </x:c>
      <x:c r="D140" s="15" t="n">
        <x:v>449</x:v>
      </x:c>
      <x:c r="E140" s="16" t="n">
        <x:v>0.2</x:v>
      </x:c>
      <x:c r="F140" s="15" t="n">
        <x:f>INDEX('Inputs'!$D$4:$D$6,MATCH(A140,'Inputs'!$A$4:$A$6,0))</x:f>
        <x:v>189</x:v>
      </x:c>
      <x:c r="G140" s="15" t="n">
        <x:f>INDEX('Inputs'!$E$4:$E$6,MATCH(A140,'Inputs'!$A$4:$A$6,0))</x:f>
        <x:v>85</x:v>
      </x:c>
      <x:c r="H140" s="15" t="n">
        <x:f>D140*(1-E140)</x:f>
        <x:v>359.20000000000005</x:v>
      </x:c>
      <x:c r="I140" s="15" t="n">
        <x:f>F140+G140</x:f>
        <x:v>274</x:v>
      </x:c>
      <x:c r="J140" s="15" t="n">
        <x:f>H140-I140</x:f>
        <x:v>85.20000000000005</x:v>
      </x:c>
      <x:c r="K140" s="16" t="n">
        <x:f>IFERROR(J140/H140,0)</x:f>
        <x:v>0.23719376391982191</x:v>
      </x:c>
      <x:c r="L140" s="14" t="str">
        <x:f>IF(J140&gt;0,"Provisional positive contribution","Not viable")</x:f>
        <x:v>Provisional positive contribution</x:v>
      </x:c>
    </x:row>
    <x:row r="141">
      <x:c r="A141" s="14" t="str">
        <x:v>300gsm Oversized Cotton</x:v>
      </x:c>
      <x:c r="B141" s="14" t="n">
        <x:v>50</x:v>
      </x:c>
      <x:c r="C141" s="15" t="n">
        <x:v>599</x:v>
      </x:c>
      <x:c r="D141" s="15" t="n">
        <x:v>449</x:v>
      </x:c>
      <x:c r="E141" s="16" t="n">
        <x:v>0.25</x:v>
      </x:c>
      <x:c r="F141" s="15" t="n">
        <x:f>INDEX('Inputs'!$D$4:$D$6,MATCH(A141,'Inputs'!$A$4:$A$6,0))</x:f>
        <x:v>189</x:v>
      </x:c>
      <x:c r="G141" s="15" t="n">
        <x:f>INDEX('Inputs'!$E$4:$E$6,MATCH(A141,'Inputs'!$A$4:$A$6,0))</x:f>
        <x:v>85</x:v>
      </x:c>
      <x:c r="H141" s="15" t="n">
        <x:f>D141*(1-E141)</x:f>
        <x:v>336.75</x:v>
      </x:c>
      <x:c r="I141" s="15" t="n">
        <x:f>F141+G141</x:f>
        <x:v>274</x:v>
      </x:c>
      <x:c r="J141" s="15" t="n">
        <x:f>H141-I141</x:f>
        <x:v>62.75</x:v>
      </x:c>
      <x:c r="K141" s="16" t="n">
        <x:f>IFERROR(J141/H141,0)</x:f>
        <x:v>0.18634001484780996</x:v>
      </x:c>
      <x:c r="L141" s="14" t="str">
        <x:f>IF(J141&gt;0,"Provisional positive contribution","Not viable")</x:f>
        <x:v>Provisional positive contribution</x:v>
      </x:c>
    </x:row>
    <x:row r="142">
      <x:c r="A142" s="14" t="str">
        <x:v>300gsm Oversized Cotton</x:v>
      </x:c>
      <x:c r="B142" s="14" t="n">
        <x:v>50</x:v>
      </x:c>
      <x:c r="C142" s="15" t="n">
        <x:v>599</x:v>
      </x:c>
      <x:c r="D142" s="15" t="n">
        <x:v>449</x:v>
      </x:c>
      <x:c r="E142" s="16" t="n">
        <x:v>0.3</x:v>
      </x:c>
      <x:c r="F142" s="15" t="n">
        <x:f>INDEX('Inputs'!$D$4:$D$6,MATCH(A142,'Inputs'!$A$4:$A$6,0))</x:f>
        <x:v>189</x:v>
      </x:c>
      <x:c r="G142" s="15" t="n">
        <x:f>INDEX('Inputs'!$E$4:$E$6,MATCH(A142,'Inputs'!$A$4:$A$6,0))</x:f>
        <x:v>85</x:v>
      </x:c>
      <x:c r="H142" s="15" t="n">
        <x:f>D142*(1-E142)</x:f>
        <x:v>314.29999999999995</x:v>
      </x:c>
      <x:c r="I142" s="15" t="n">
        <x:f>F142+G142</x:f>
        <x:v>274</x:v>
      </x:c>
      <x:c r="J142" s="15" t="n">
        <x:f>H142-I142</x:f>
        <x:v>40.299999999999955</x:v>
      </x:c>
      <x:c r="K142" s="16" t="n">
        <x:f>IFERROR(J142/H142,0)</x:f>
        <x:v>0.12822144447979625</x:v>
      </x:c>
      <x:c r="L142" s="14" t="str">
        <x:f>IF(J142&gt;0,"Provisional positive contribution","Not viable")</x:f>
        <x:v>Provisional positive contribution</x:v>
      </x:c>
    </x:row>
    <x:row r="143">
      <x:c r="A143" s="14" t="str">
        <x:v>300gsm Oversized Cotton</x:v>
      </x:c>
      <x:c r="B143" s="14" t="n">
        <x:v>50</x:v>
      </x:c>
      <x:c r="C143" s="15" t="n">
        <x:v>599</x:v>
      </x:c>
      <x:c r="D143" s="15" t="n">
        <x:v>449</x:v>
      </x:c>
      <x:c r="E143" s="16" t="n">
        <x:v>0.35</x:v>
      </x:c>
      <x:c r="F143" s="15" t="n">
        <x:f>INDEX('Inputs'!$D$4:$D$6,MATCH(A143,'Inputs'!$A$4:$A$6,0))</x:f>
        <x:v>189</x:v>
      </x:c>
      <x:c r="G143" s="15" t="n">
        <x:f>INDEX('Inputs'!$E$4:$E$6,MATCH(A143,'Inputs'!$A$4:$A$6,0))</x:f>
        <x:v>85</x:v>
      </x:c>
      <x:c r="H143" s="15" t="n">
        <x:f>D143*(1-E143)</x:f>
        <x:v>291.85</x:v>
      </x:c>
      <x:c r="I143" s="15" t="n">
        <x:f>F143+G143</x:f>
        <x:v>274</x:v>
      </x:c>
      <x:c r="J143" s="15" t="n">
        <x:f>H143-I143</x:f>
        <x:v>17.850000000000023</x:v>
      </x:c>
      <x:c r="K143" s="16" t="n">
        <x:f>IFERROR(J143/H143,0)</x:f>
        <x:v>0.06116155559362694</x:v>
      </x:c>
      <x:c r="L143" s="14" t="str">
        <x:f>IF(J143&gt;0,"Provisional positive contribution","Not viable")</x:f>
        <x:v>Provisional positive contribution</x:v>
      </x:c>
    </x:row>
    <x:row r="144">
      <x:c r="A144" s="14" t="str">
        <x:v>300gsm Oversized Cotton</x:v>
      </x:c>
      <x:c r="B144" s="14" t="n">
        <x:v>50</x:v>
      </x:c>
      <x:c r="C144" s="15" t="n">
        <x:v>599</x:v>
      </x:c>
      <x:c r="D144" s="15" t="n">
        <x:v>499</x:v>
      </x:c>
      <x:c r="E144" s="16" t="n">
        <x:v>0.2</x:v>
      </x:c>
      <x:c r="F144" s="15" t="n">
        <x:f>INDEX('Inputs'!$D$4:$D$6,MATCH(A144,'Inputs'!$A$4:$A$6,0))</x:f>
        <x:v>189</x:v>
      </x:c>
      <x:c r="G144" s="15" t="n">
        <x:f>INDEX('Inputs'!$E$4:$E$6,MATCH(A144,'Inputs'!$A$4:$A$6,0))</x:f>
        <x:v>85</x:v>
      </x:c>
      <x:c r="H144" s="15" t="n">
        <x:f>D144*(1-E144)</x:f>
        <x:v>399.20000000000005</x:v>
      </x:c>
      <x:c r="I144" s="15" t="n">
        <x:f>F144+G144</x:f>
        <x:v>274</x:v>
      </x:c>
      <x:c r="J144" s="15" t="n">
        <x:f>H144-I144</x:f>
        <x:v>125.20000000000005</x:v>
      </x:c>
      <x:c r="K144" s="16" t="n">
        <x:f>IFERROR(J144/H144,0)</x:f>
        <x:v>0.3136272545090181</x:v>
      </x:c>
      <x:c r="L144" s="14" t="str">
        <x:f>IF(J144&gt;0,"Provisional positive contribution","Not viable")</x:f>
        <x:v>Provisional positive contribution</x:v>
      </x:c>
    </x:row>
    <x:row r="145">
      <x:c r="A145" s="14" t="str">
        <x:v>300gsm Oversized Cotton</x:v>
      </x:c>
      <x:c r="B145" s="14" t="n">
        <x:v>50</x:v>
      </x:c>
      <x:c r="C145" s="15" t="n">
        <x:v>599</x:v>
      </x:c>
      <x:c r="D145" s="15" t="n">
        <x:v>499</x:v>
      </x:c>
      <x:c r="E145" s="16" t="n">
        <x:v>0.25</x:v>
      </x:c>
      <x:c r="F145" s="15" t="n">
        <x:f>INDEX('Inputs'!$D$4:$D$6,MATCH(A145,'Inputs'!$A$4:$A$6,0))</x:f>
        <x:v>189</x:v>
      </x:c>
      <x:c r="G145" s="15" t="n">
        <x:f>INDEX('Inputs'!$E$4:$E$6,MATCH(A145,'Inputs'!$A$4:$A$6,0))</x:f>
        <x:v>85</x:v>
      </x:c>
      <x:c r="H145" s="15" t="n">
        <x:f>D145*(1-E145)</x:f>
        <x:v>374.25</x:v>
      </x:c>
      <x:c r="I145" s="15" t="n">
        <x:f>F145+G145</x:f>
        <x:v>274</x:v>
      </x:c>
      <x:c r="J145" s="15" t="n">
        <x:f>H145-I145</x:f>
        <x:v>100.25</x:v>
      </x:c>
      <x:c r="K145" s="16" t="n">
        <x:f>IFERROR(J145/H145,0)</x:f>
        <x:v>0.2678690714762859</x:v>
      </x:c>
      <x:c r="L145" s="14" t="str">
        <x:f>IF(J145&gt;0,"Provisional positive contribution","Not viable")</x:f>
        <x:v>Provisional positive contribution</x:v>
      </x:c>
    </x:row>
    <x:row r="146">
      <x:c r="A146" s="14" t="str">
        <x:v>300gsm Oversized Cotton</x:v>
      </x:c>
      <x:c r="B146" s="14" t="n">
        <x:v>50</x:v>
      </x:c>
      <x:c r="C146" s="15" t="n">
        <x:v>599</x:v>
      </x:c>
      <x:c r="D146" s="15" t="n">
        <x:v>499</x:v>
      </x:c>
      <x:c r="E146" s="16" t="n">
        <x:v>0.3</x:v>
      </x:c>
      <x:c r="F146" s="15" t="n">
        <x:f>INDEX('Inputs'!$D$4:$D$6,MATCH(A146,'Inputs'!$A$4:$A$6,0))</x:f>
        <x:v>189</x:v>
      </x:c>
      <x:c r="G146" s="15" t="n">
        <x:f>INDEX('Inputs'!$E$4:$E$6,MATCH(A146,'Inputs'!$A$4:$A$6,0))</x:f>
        <x:v>85</x:v>
      </x:c>
      <x:c r="H146" s="15" t="n">
        <x:f>D146*(1-E146)</x:f>
        <x:v>349.29999999999995</x:v>
      </x:c>
      <x:c r="I146" s="15" t="n">
        <x:f>F146+G146</x:f>
        <x:v>274</x:v>
      </x:c>
      <x:c r="J146" s="15" t="n">
        <x:f>H146-I146</x:f>
        <x:v>75.29999999999995</x:v>
      </x:c>
      <x:c r="K146" s="16" t="n">
        <x:f>IFERROR(J146/H146,0)</x:f>
        <x:v>0.21557400515316336</x:v>
      </x:c>
      <x:c r="L146" s="14" t="str">
        <x:f>IF(J146&gt;0,"Provisional positive contribution","Not viable")</x:f>
        <x:v>Provisional positive contribution</x:v>
      </x:c>
    </x:row>
    <x:row r="147">
      <x:c r="A147" s="14" t="str">
        <x:v>300gsm Oversized Cotton</x:v>
      </x:c>
      <x:c r="B147" s="14" t="n">
        <x:v>50</x:v>
      </x:c>
      <x:c r="C147" s="15" t="n">
        <x:v>599</x:v>
      </x:c>
      <x:c r="D147" s="15" t="n">
        <x:v>499</x:v>
      </x:c>
      <x:c r="E147" s="16" t="n">
        <x:v>0.35</x:v>
      </x:c>
      <x:c r="F147" s="15" t="n">
        <x:f>INDEX('Inputs'!$D$4:$D$6,MATCH(A147,'Inputs'!$A$4:$A$6,0))</x:f>
        <x:v>189</x:v>
      </x:c>
      <x:c r="G147" s="15" t="n">
        <x:f>INDEX('Inputs'!$E$4:$E$6,MATCH(A147,'Inputs'!$A$4:$A$6,0))</x:f>
        <x:v>85</x:v>
      </x:c>
      <x:c r="H147" s="15" t="n">
        <x:f>D147*(1-E147)</x:f>
        <x:v>324.35</x:v>
      </x:c>
      <x:c r="I147" s="15" t="n">
        <x:f>F147+G147</x:f>
        <x:v>274</x:v>
      </x:c>
      <x:c r="J147" s="15" t="n">
        <x:f>H147-I147</x:f>
        <x:v>50.35000000000002</x:v>
      </x:c>
      <x:c r="K147" s="16" t="n">
        <x:f>IFERROR(J147/H147,0)</x:f>
        <x:v>0.15523354401109918</x:v>
      </x:c>
      <x:c r="L147" s="14" t="str">
        <x:f>IF(J147&gt;0,"Provisional positive contribution","Not viable")</x:f>
        <x:v>Provisional positive contribution</x:v>
      </x:c>
    </x:row>
    <x:row r="148">
      <x:c r="A148" s="14" t="str">
        <x:v>300gsm Oversized Cotton</x:v>
      </x:c>
      <x:c r="B148" s="14" t="n">
        <x:v>50</x:v>
      </x:c>
      <x:c r="C148" s="15" t="n">
        <x:v>649</x:v>
      </x:c>
      <x:c r="D148" s="15" t="n">
        <x:v>349</x:v>
      </x:c>
      <x:c r="E148" s="16" t="n">
        <x:v>0.2</x:v>
      </x:c>
      <x:c r="F148" s="15" t="n">
        <x:f>INDEX('Inputs'!$D$4:$D$6,MATCH(A148,'Inputs'!$A$4:$A$6,0))</x:f>
        <x:v>189</x:v>
      </x:c>
      <x:c r="G148" s="15" t="n">
        <x:f>INDEX('Inputs'!$E$4:$E$6,MATCH(A148,'Inputs'!$A$4:$A$6,0))</x:f>
        <x:v>85</x:v>
      </x:c>
      <x:c r="H148" s="15" t="n">
        <x:f>D148*(1-E148)</x:f>
        <x:v>279.2</x:v>
      </x:c>
      <x:c r="I148" s="15" t="n">
        <x:f>F148+G148</x:f>
        <x:v>274</x:v>
      </x:c>
      <x:c r="J148" s="15" t="n">
        <x:f>H148-I148</x:f>
        <x:v>5.199999999999989</x:v>
      </x:c>
      <x:c r="K148" s="16" t="n">
        <x:f>IFERROR(J148/H148,0)</x:f>
        <x:v>0.018624641833810848</x:v>
      </x:c>
      <x:c r="L148" s="14" t="str">
        <x:f>IF(J148&gt;0,"Provisional positive contribution","Not viable")</x:f>
        <x:v>Provisional positive contribution</x:v>
      </x:c>
    </x:row>
    <x:row r="149">
      <x:c r="A149" s="14" t="str">
        <x:v>300gsm Oversized Cotton</x:v>
      </x:c>
      <x:c r="B149" s="14" t="n">
        <x:v>50</x:v>
      </x:c>
      <x:c r="C149" s="15" t="n">
        <x:v>649</x:v>
      </x:c>
      <x:c r="D149" s="15" t="n">
        <x:v>349</x:v>
      </x:c>
      <x:c r="E149" s="16" t="n">
        <x:v>0.25</x:v>
      </x:c>
      <x:c r="F149" s="15" t="n">
        <x:f>INDEX('Inputs'!$D$4:$D$6,MATCH(A149,'Inputs'!$A$4:$A$6,0))</x:f>
        <x:v>189</x:v>
      </x:c>
      <x:c r="G149" s="15" t="n">
        <x:f>INDEX('Inputs'!$E$4:$E$6,MATCH(A149,'Inputs'!$A$4:$A$6,0))</x:f>
        <x:v>85</x:v>
      </x:c>
      <x:c r="H149" s="15" t="n">
        <x:f>D149*(1-E149)</x:f>
        <x:v>261.75</x:v>
      </x:c>
      <x:c r="I149" s="15" t="n">
        <x:f>F149+G149</x:f>
        <x:v>274</x:v>
      </x:c>
      <x:c r="J149" s="15" t="n">
        <x:f>H149-I149</x:f>
        <x:v>-12.25</x:v>
      </x:c>
      <x:c r="K149" s="16" t="n">
        <x:f>IFERROR(J149/H149,0)</x:f>
        <x:v>-0.04680038204393505</x:v>
      </x:c>
      <x:c r="L149" s="14" t="str">
        <x:f>IF(J149&gt;0,"Provisional positive contribution","Not viable")</x:f>
        <x:v>Not viable</x:v>
      </x:c>
    </x:row>
    <x:row r="150">
      <x:c r="A150" s="14" t="str">
        <x:v>300gsm Oversized Cotton</x:v>
      </x:c>
      <x:c r="B150" s="14" t="n">
        <x:v>50</x:v>
      </x:c>
      <x:c r="C150" s="15" t="n">
        <x:v>649</x:v>
      </x:c>
      <x:c r="D150" s="15" t="n">
        <x:v>349</x:v>
      </x:c>
      <x:c r="E150" s="16" t="n">
        <x:v>0.3</x:v>
      </x:c>
      <x:c r="F150" s="15" t="n">
        <x:f>INDEX('Inputs'!$D$4:$D$6,MATCH(A150,'Inputs'!$A$4:$A$6,0))</x:f>
        <x:v>189</x:v>
      </x:c>
      <x:c r="G150" s="15" t="n">
        <x:f>INDEX('Inputs'!$E$4:$E$6,MATCH(A150,'Inputs'!$A$4:$A$6,0))</x:f>
        <x:v>85</x:v>
      </x:c>
      <x:c r="H150" s="15" t="n">
        <x:f>D150*(1-E150)</x:f>
        <x:v>244.29999999999998</x:v>
      </x:c>
      <x:c r="I150" s="15" t="n">
        <x:f>F150+G150</x:f>
        <x:v>274</x:v>
      </x:c>
      <x:c r="J150" s="15" t="n">
        <x:f>H150-I150</x:f>
        <x:v>-29.700000000000017</x:v>
      </x:c>
      <x:c r="K150" s="16" t="n">
        <x:f>IFERROR(J150/H150,0)</x:f>
        <x:v>-0.1215718379042162</x:v>
      </x:c>
      <x:c r="L150" s="14" t="str">
        <x:f>IF(J150&gt;0,"Provisional positive contribution","Not viable")</x:f>
        <x:v>Not viable</x:v>
      </x:c>
    </x:row>
    <x:row r="151">
      <x:c r="A151" s="14" t="str">
        <x:v>300gsm Oversized Cotton</x:v>
      </x:c>
      <x:c r="B151" s="14" t="n">
        <x:v>50</x:v>
      </x:c>
      <x:c r="C151" s="15" t="n">
        <x:v>649</x:v>
      </x:c>
      <x:c r="D151" s="15" t="n">
        <x:v>349</x:v>
      </x:c>
      <x:c r="E151" s="16" t="n">
        <x:v>0.35</x:v>
      </x:c>
      <x:c r="F151" s="15" t="n">
        <x:f>INDEX('Inputs'!$D$4:$D$6,MATCH(A151,'Inputs'!$A$4:$A$6,0))</x:f>
        <x:v>189</x:v>
      </x:c>
      <x:c r="G151" s="15" t="n">
        <x:f>INDEX('Inputs'!$E$4:$E$6,MATCH(A151,'Inputs'!$A$4:$A$6,0))</x:f>
        <x:v>85</x:v>
      </x:c>
      <x:c r="H151" s="15" t="n">
        <x:f>D151*(1-E151)</x:f>
        <x:v>226.85</x:v>
      </x:c>
      <x:c r="I151" s="15" t="n">
        <x:f>F151+G151</x:f>
        <x:v>274</x:v>
      </x:c>
      <x:c r="J151" s="15" t="n">
        <x:f>H151-I151</x:f>
        <x:v>-47.150000000000006</x:v>
      </x:c>
      <x:c r="K151" s="16" t="n">
        <x:f>IFERROR(J151/H151,0)</x:f>
        <x:v>-0.20784659466607894</x:v>
      </x:c>
      <x:c r="L151" s="14" t="str">
        <x:f>IF(J151&gt;0,"Provisional positive contribution","Not viable")</x:f>
        <x:v>Not viable</x:v>
      </x:c>
    </x:row>
    <x:row r="152">
      <x:c r="A152" s="14" t="str">
        <x:v>300gsm Oversized Cotton</x:v>
      </x:c>
      <x:c r="B152" s="14" t="n">
        <x:v>50</x:v>
      </x:c>
      <x:c r="C152" s="15" t="n">
        <x:v>649</x:v>
      </x:c>
      <x:c r="D152" s="15" t="n">
        <x:v>399</x:v>
      </x:c>
      <x:c r="E152" s="16" t="n">
        <x:v>0.2</x:v>
      </x:c>
      <x:c r="F152" s="15" t="n">
        <x:f>INDEX('Inputs'!$D$4:$D$6,MATCH(A152,'Inputs'!$A$4:$A$6,0))</x:f>
        <x:v>189</x:v>
      </x:c>
      <x:c r="G152" s="15" t="n">
        <x:f>INDEX('Inputs'!$E$4:$E$6,MATCH(A152,'Inputs'!$A$4:$A$6,0))</x:f>
        <x:v>85</x:v>
      </x:c>
      <x:c r="H152" s="15" t="n">
        <x:f>D152*(1-E152)</x:f>
        <x:v>319.20000000000005</x:v>
      </x:c>
      <x:c r="I152" s="15" t="n">
        <x:f>F152+G152</x:f>
        <x:v>274</x:v>
      </x:c>
      <x:c r="J152" s="15" t="n">
        <x:f>H152-I152</x:f>
        <x:v>45.200000000000045</x:v>
      </x:c>
      <x:c r="K152" s="16" t="n">
        <x:f>IFERROR(J152/H152,0)</x:f>
        <x:v>0.1416040100250628</x:v>
      </x:c>
      <x:c r="L152" s="14" t="str">
        <x:f>IF(J152&gt;0,"Provisional positive contribution","Not viable")</x:f>
        <x:v>Provisional positive contribution</x:v>
      </x:c>
    </x:row>
    <x:row r="153">
      <x:c r="A153" s="14" t="str">
        <x:v>300gsm Oversized Cotton</x:v>
      </x:c>
      <x:c r="B153" s="14" t="n">
        <x:v>50</x:v>
      </x:c>
      <x:c r="C153" s="15" t="n">
        <x:v>649</x:v>
      </x:c>
      <x:c r="D153" s="15" t="n">
        <x:v>399</x:v>
      </x:c>
      <x:c r="E153" s="16" t="n">
        <x:v>0.25</x:v>
      </x:c>
      <x:c r="F153" s="15" t="n">
        <x:f>INDEX('Inputs'!$D$4:$D$6,MATCH(A153,'Inputs'!$A$4:$A$6,0))</x:f>
        <x:v>189</x:v>
      </x:c>
      <x:c r="G153" s="15" t="n">
        <x:f>INDEX('Inputs'!$E$4:$E$6,MATCH(A153,'Inputs'!$A$4:$A$6,0))</x:f>
        <x:v>85</x:v>
      </x:c>
      <x:c r="H153" s="15" t="n">
        <x:f>D153*(1-E153)</x:f>
        <x:v>299.25</x:v>
      </x:c>
      <x:c r="I153" s="15" t="n">
        <x:f>F153+G153</x:f>
        <x:v>274</x:v>
      </x:c>
      <x:c r="J153" s="15" t="n">
        <x:f>H153-I153</x:f>
        <x:v>25.25</x:v>
      </x:c>
      <x:c r="K153" s="16" t="n">
        <x:f>IFERROR(J153/H153,0)</x:f>
        <x:v>0.08437761069340016</x:v>
      </x:c>
      <x:c r="L153" s="14" t="str">
        <x:f>IF(J153&gt;0,"Provisional positive contribution","Not viable")</x:f>
        <x:v>Provisional positive contribution</x:v>
      </x:c>
    </x:row>
    <x:row r="154">
      <x:c r="A154" s="14" t="str">
        <x:v>300gsm Oversized Cotton</x:v>
      </x:c>
      <x:c r="B154" s="14" t="n">
        <x:v>50</x:v>
      </x:c>
      <x:c r="C154" s="15" t="n">
        <x:v>649</x:v>
      </x:c>
      <x:c r="D154" s="15" t="n">
        <x:v>399</x:v>
      </x:c>
      <x:c r="E154" s="16" t="n">
        <x:v>0.3</x:v>
      </x:c>
      <x:c r="F154" s="15" t="n">
        <x:f>INDEX('Inputs'!$D$4:$D$6,MATCH(A154,'Inputs'!$A$4:$A$6,0))</x:f>
        <x:v>189</x:v>
      </x:c>
      <x:c r="G154" s="15" t="n">
        <x:f>INDEX('Inputs'!$E$4:$E$6,MATCH(A154,'Inputs'!$A$4:$A$6,0))</x:f>
        <x:v>85</x:v>
      </x:c>
      <x:c r="H154" s="15" t="n">
        <x:f>D154*(1-E154)</x:f>
        <x:v>279.29999999999995</x:v>
      </x:c>
      <x:c r="I154" s="15" t="n">
        <x:f>F154+G154</x:f>
        <x:v>274</x:v>
      </x:c>
      <x:c r="J154" s="15" t="n">
        <x:f>H154-I154</x:f>
        <x:v>5.2999999999999545</x:v>
      </x:c>
      <x:c r="K154" s="16" t="n">
        <x:f>IFERROR(J154/H154,0)</x:f>
        <x:v>0.018976011457214306</x:v>
      </x:c>
      <x:c r="L154" s="14" t="str">
        <x:f>IF(J154&gt;0,"Provisional positive contribution","Not viable")</x:f>
        <x:v>Provisional positive contribution</x:v>
      </x:c>
    </x:row>
    <x:row r="155">
      <x:c r="A155" s="14" t="str">
        <x:v>300gsm Oversized Cotton</x:v>
      </x:c>
      <x:c r="B155" s="14" t="n">
        <x:v>50</x:v>
      </x:c>
      <x:c r="C155" s="15" t="n">
        <x:v>649</x:v>
      </x:c>
      <x:c r="D155" s="15" t="n">
        <x:v>399</x:v>
      </x:c>
      <x:c r="E155" s="16" t="n">
        <x:v>0.35</x:v>
      </x:c>
      <x:c r="F155" s="15" t="n">
        <x:f>INDEX('Inputs'!$D$4:$D$6,MATCH(A155,'Inputs'!$A$4:$A$6,0))</x:f>
        <x:v>189</x:v>
      </x:c>
      <x:c r="G155" s="15" t="n">
        <x:f>INDEX('Inputs'!$E$4:$E$6,MATCH(A155,'Inputs'!$A$4:$A$6,0))</x:f>
        <x:v>85</x:v>
      </x:c>
      <x:c r="H155" s="15" t="n">
        <x:f>D155*(1-E155)</x:f>
        <x:v>259.35</x:v>
      </x:c>
      <x:c r="I155" s="15" t="n">
        <x:f>F155+G155</x:f>
        <x:v>274</x:v>
      </x:c>
      <x:c r="J155" s="15" t="n">
        <x:f>H155-I155</x:f>
        <x:v>-14.649999999999977</x:v>
      </x:c>
      <x:c r="K155" s="16" t="n">
        <x:f>IFERROR(J155/H155,0)</x:f>
        <x:v>-0.05648737227684587</x:v>
      </x:c>
      <x:c r="L155" s="14" t="str">
        <x:f>IF(J155&gt;0,"Provisional positive contribution","Not viable")</x:f>
        <x:v>Not viable</x:v>
      </x:c>
    </x:row>
    <x:row r="156">
      <x:c r="A156" s="14" t="str">
        <x:v>300gsm Oversized Cotton</x:v>
      </x:c>
      <x:c r="B156" s="14" t="n">
        <x:v>50</x:v>
      </x:c>
      <x:c r="C156" s="15" t="n">
        <x:v>649</x:v>
      </x:c>
      <x:c r="D156" s="15" t="n">
        <x:v>449</x:v>
      </x:c>
      <x:c r="E156" s="16" t="n">
        <x:v>0.2</x:v>
      </x:c>
      <x:c r="F156" s="15" t="n">
        <x:f>INDEX('Inputs'!$D$4:$D$6,MATCH(A156,'Inputs'!$A$4:$A$6,0))</x:f>
        <x:v>189</x:v>
      </x:c>
      <x:c r="G156" s="15" t="n">
        <x:f>INDEX('Inputs'!$E$4:$E$6,MATCH(A156,'Inputs'!$A$4:$A$6,0))</x:f>
        <x:v>85</x:v>
      </x:c>
      <x:c r="H156" s="15" t="n">
        <x:f>D156*(1-E156)</x:f>
        <x:v>359.20000000000005</x:v>
      </x:c>
      <x:c r="I156" s="15" t="n">
        <x:f>F156+G156</x:f>
        <x:v>274</x:v>
      </x:c>
      <x:c r="J156" s="15" t="n">
        <x:f>H156-I156</x:f>
        <x:v>85.20000000000005</x:v>
      </x:c>
      <x:c r="K156" s="16" t="n">
        <x:f>IFERROR(J156/H156,0)</x:f>
        <x:v>0.23719376391982191</x:v>
      </x:c>
      <x:c r="L156" s="14" t="str">
        <x:f>IF(J156&gt;0,"Provisional positive contribution","Not viable")</x:f>
        <x:v>Provisional positive contribution</x:v>
      </x:c>
    </x:row>
    <x:row r="157">
      <x:c r="A157" s="14" t="str">
        <x:v>300gsm Oversized Cotton</x:v>
      </x:c>
      <x:c r="B157" s="14" t="n">
        <x:v>50</x:v>
      </x:c>
      <x:c r="C157" s="15" t="n">
        <x:v>649</x:v>
      </x:c>
      <x:c r="D157" s="15" t="n">
        <x:v>449</x:v>
      </x:c>
      <x:c r="E157" s="16" t="n">
        <x:v>0.25</x:v>
      </x:c>
      <x:c r="F157" s="15" t="n">
        <x:f>INDEX('Inputs'!$D$4:$D$6,MATCH(A157,'Inputs'!$A$4:$A$6,0))</x:f>
        <x:v>189</x:v>
      </x:c>
      <x:c r="G157" s="15" t="n">
        <x:f>INDEX('Inputs'!$E$4:$E$6,MATCH(A157,'Inputs'!$A$4:$A$6,0))</x:f>
        <x:v>85</x:v>
      </x:c>
      <x:c r="H157" s="15" t="n">
        <x:f>D157*(1-E157)</x:f>
        <x:v>336.75</x:v>
      </x:c>
      <x:c r="I157" s="15" t="n">
        <x:f>F157+G157</x:f>
        <x:v>274</x:v>
      </x:c>
      <x:c r="J157" s="15" t="n">
        <x:f>H157-I157</x:f>
        <x:v>62.75</x:v>
      </x:c>
      <x:c r="K157" s="16" t="n">
        <x:f>IFERROR(J157/H157,0)</x:f>
        <x:v>0.18634001484780996</x:v>
      </x:c>
      <x:c r="L157" s="14" t="str">
        <x:f>IF(J157&gt;0,"Provisional positive contribution","Not viable")</x:f>
        <x:v>Provisional positive contribution</x:v>
      </x:c>
    </x:row>
    <x:row r="158">
      <x:c r="A158" s="14" t="str">
        <x:v>300gsm Oversized Cotton</x:v>
      </x:c>
      <x:c r="B158" s="14" t="n">
        <x:v>50</x:v>
      </x:c>
      <x:c r="C158" s="15" t="n">
        <x:v>649</x:v>
      </x:c>
      <x:c r="D158" s="15" t="n">
        <x:v>449</x:v>
      </x:c>
      <x:c r="E158" s="16" t="n">
        <x:v>0.3</x:v>
      </x:c>
      <x:c r="F158" s="15" t="n">
        <x:f>INDEX('Inputs'!$D$4:$D$6,MATCH(A158,'Inputs'!$A$4:$A$6,0))</x:f>
        <x:v>189</x:v>
      </x:c>
      <x:c r="G158" s="15" t="n">
        <x:f>INDEX('Inputs'!$E$4:$E$6,MATCH(A158,'Inputs'!$A$4:$A$6,0))</x:f>
        <x:v>85</x:v>
      </x:c>
      <x:c r="H158" s="15" t="n">
        <x:f>D158*(1-E158)</x:f>
        <x:v>314.29999999999995</x:v>
      </x:c>
      <x:c r="I158" s="15" t="n">
        <x:f>F158+G158</x:f>
        <x:v>274</x:v>
      </x:c>
      <x:c r="J158" s="15" t="n">
        <x:f>H158-I158</x:f>
        <x:v>40.299999999999955</x:v>
      </x:c>
      <x:c r="K158" s="16" t="n">
        <x:f>IFERROR(J158/H158,0)</x:f>
        <x:v>0.12822144447979625</x:v>
      </x:c>
      <x:c r="L158" s="14" t="str">
        <x:f>IF(J158&gt;0,"Provisional positive contribution","Not viable")</x:f>
        <x:v>Provisional positive contribution</x:v>
      </x:c>
    </x:row>
    <x:row r="159">
      <x:c r="A159" s="14" t="str">
        <x:v>300gsm Oversized Cotton</x:v>
      </x:c>
      <x:c r="B159" s="14" t="n">
        <x:v>50</x:v>
      </x:c>
      <x:c r="C159" s="15" t="n">
        <x:v>649</x:v>
      </x:c>
      <x:c r="D159" s="15" t="n">
        <x:v>449</x:v>
      </x:c>
      <x:c r="E159" s="16" t="n">
        <x:v>0.35</x:v>
      </x:c>
      <x:c r="F159" s="15" t="n">
        <x:f>INDEX('Inputs'!$D$4:$D$6,MATCH(A159,'Inputs'!$A$4:$A$6,0))</x:f>
        <x:v>189</x:v>
      </x:c>
      <x:c r="G159" s="15" t="n">
        <x:f>INDEX('Inputs'!$E$4:$E$6,MATCH(A159,'Inputs'!$A$4:$A$6,0))</x:f>
        <x:v>85</x:v>
      </x:c>
      <x:c r="H159" s="15" t="n">
        <x:f>D159*(1-E159)</x:f>
        <x:v>291.85</x:v>
      </x:c>
      <x:c r="I159" s="15" t="n">
        <x:f>F159+G159</x:f>
        <x:v>274</x:v>
      </x:c>
      <x:c r="J159" s="15" t="n">
        <x:f>H159-I159</x:f>
        <x:v>17.850000000000023</x:v>
      </x:c>
      <x:c r="K159" s="16" t="n">
        <x:f>IFERROR(J159/H159,0)</x:f>
        <x:v>0.06116155559362694</x:v>
      </x:c>
      <x:c r="L159" s="14" t="str">
        <x:f>IF(J159&gt;0,"Provisional positive contribution","Not viable")</x:f>
        <x:v>Provisional positive contribution</x:v>
      </x:c>
    </x:row>
    <x:row r="160">
      <x:c r="A160" s="14" t="str">
        <x:v>300gsm Oversized Cotton</x:v>
      </x:c>
      <x:c r="B160" s="14" t="n">
        <x:v>50</x:v>
      </x:c>
      <x:c r="C160" s="15" t="n">
        <x:v>649</x:v>
      </x:c>
      <x:c r="D160" s="15" t="n">
        <x:v>499</x:v>
      </x:c>
      <x:c r="E160" s="16" t="n">
        <x:v>0.2</x:v>
      </x:c>
      <x:c r="F160" s="15" t="n">
        <x:f>INDEX('Inputs'!$D$4:$D$6,MATCH(A160,'Inputs'!$A$4:$A$6,0))</x:f>
        <x:v>189</x:v>
      </x:c>
      <x:c r="G160" s="15" t="n">
        <x:f>INDEX('Inputs'!$E$4:$E$6,MATCH(A160,'Inputs'!$A$4:$A$6,0))</x:f>
        <x:v>85</x:v>
      </x:c>
      <x:c r="H160" s="15" t="n">
        <x:f>D160*(1-E160)</x:f>
        <x:v>399.20000000000005</x:v>
      </x:c>
      <x:c r="I160" s="15" t="n">
        <x:f>F160+G160</x:f>
        <x:v>274</x:v>
      </x:c>
      <x:c r="J160" s="15" t="n">
        <x:f>H160-I160</x:f>
        <x:v>125.20000000000005</x:v>
      </x:c>
      <x:c r="K160" s="16" t="n">
        <x:f>IFERROR(J160/H160,0)</x:f>
        <x:v>0.3136272545090181</x:v>
      </x:c>
      <x:c r="L160" s="14" t="str">
        <x:f>IF(J160&gt;0,"Provisional positive contribution","Not viable")</x:f>
        <x:v>Provisional positive contribution</x:v>
      </x:c>
    </x:row>
    <x:row r="161">
      <x:c r="A161" s="14" t="str">
        <x:v>300gsm Oversized Cotton</x:v>
      </x:c>
      <x:c r="B161" s="14" t="n">
        <x:v>50</x:v>
      </x:c>
      <x:c r="C161" s="15" t="n">
        <x:v>649</x:v>
      </x:c>
      <x:c r="D161" s="15" t="n">
        <x:v>499</x:v>
      </x:c>
      <x:c r="E161" s="16" t="n">
        <x:v>0.25</x:v>
      </x:c>
      <x:c r="F161" s="15" t="n">
        <x:f>INDEX('Inputs'!$D$4:$D$6,MATCH(A161,'Inputs'!$A$4:$A$6,0))</x:f>
        <x:v>189</x:v>
      </x:c>
      <x:c r="G161" s="15" t="n">
        <x:f>INDEX('Inputs'!$E$4:$E$6,MATCH(A161,'Inputs'!$A$4:$A$6,0))</x:f>
        <x:v>85</x:v>
      </x:c>
      <x:c r="H161" s="15" t="n">
        <x:f>D161*(1-E161)</x:f>
        <x:v>374.25</x:v>
      </x:c>
      <x:c r="I161" s="15" t="n">
        <x:f>F161+G161</x:f>
        <x:v>274</x:v>
      </x:c>
      <x:c r="J161" s="15" t="n">
        <x:f>H161-I161</x:f>
        <x:v>100.25</x:v>
      </x:c>
      <x:c r="K161" s="16" t="n">
        <x:f>IFERROR(J161/H161,0)</x:f>
        <x:v>0.2678690714762859</x:v>
      </x:c>
      <x:c r="L161" s="14" t="str">
        <x:f>IF(J161&gt;0,"Provisional positive contribution","Not viable")</x:f>
        <x:v>Provisional positive contribution</x:v>
      </x:c>
    </x:row>
    <x:row r="162">
      <x:c r="A162" s="14" t="str">
        <x:v>300gsm Oversized Cotton</x:v>
      </x:c>
      <x:c r="B162" s="14" t="n">
        <x:v>50</x:v>
      </x:c>
      <x:c r="C162" s="15" t="n">
        <x:v>649</x:v>
      </x:c>
      <x:c r="D162" s="15" t="n">
        <x:v>499</x:v>
      </x:c>
      <x:c r="E162" s="16" t="n">
        <x:v>0.3</x:v>
      </x:c>
      <x:c r="F162" s="15" t="n">
        <x:f>INDEX('Inputs'!$D$4:$D$6,MATCH(A162,'Inputs'!$A$4:$A$6,0))</x:f>
        <x:v>189</x:v>
      </x:c>
      <x:c r="G162" s="15" t="n">
        <x:f>INDEX('Inputs'!$E$4:$E$6,MATCH(A162,'Inputs'!$A$4:$A$6,0))</x:f>
        <x:v>85</x:v>
      </x:c>
      <x:c r="H162" s="15" t="n">
        <x:f>D162*(1-E162)</x:f>
        <x:v>349.29999999999995</x:v>
      </x:c>
      <x:c r="I162" s="15" t="n">
        <x:f>F162+G162</x:f>
        <x:v>274</x:v>
      </x:c>
      <x:c r="J162" s="15" t="n">
        <x:f>H162-I162</x:f>
        <x:v>75.29999999999995</x:v>
      </x:c>
      <x:c r="K162" s="16" t="n">
        <x:f>IFERROR(J162/H162,0)</x:f>
        <x:v>0.21557400515316336</x:v>
      </x:c>
      <x:c r="L162" s="14" t="str">
        <x:f>IF(J162&gt;0,"Provisional positive contribution","Not viable")</x:f>
        <x:v>Provisional positive contribution</x:v>
      </x:c>
    </x:row>
    <x:row r="163">
      <x:c r="A163" s="14" t="str">
        <x:v>300gsm Oversized Cotton</x:v>
      </x:c>
      <x:c r="B163" s="14" t="n">
        <x:v>50</x:v>
      </x:c>
      <x:c r="C163" s="15" t="n">
        <x:v>649</x:v>
      </x:c>
      <x:c r="D163" s="15" t="n">
        <x:v>499</x:v>
      </x:c>
      <x:c r="E163" s="16" t="n">
        <x:v>0.35</x:v>
      </x:c>
      <x:c r="F163" s="15" t="n">
        <x:f>INDEX('Inputs'!$D$4:$D$6,MATCH(A163,'Inputs'!$A$4:$A$6,0))</x:f>
        <x:v>189</x:v>
      </x:c>
      <x:c r="G163" s="15" t="n">
        <x:f>INDEX('Inputs'!$E$4:$E$6,MATCH(A163,'Inputs'!$A$4:$A$6,0))</x:f>
        <x:v>85</x:v>
      </x:c>
      <x:c r="H163" s="15" t="n">
        <x:f>D163*(1-E163)</x:f>
        <x:v>324.35</x:v>
      </x:c>
      <x:c r="I163" s="15" t="n">
        <x:f>F163+G163</x:f>
        <x:v>274</x:v>
      </x:c>
      <x:c r="J163" s="15" t="n">
        <x:f>H163-I163</x:f>
        <x:v>50.35000000000002</x:v>
      </x:c>
      <x:c r="K163" s="16" t="n">
        <x:f>IFERROR(J163/H163,0)</x:f>
        <x:v>0.15523354401109918</x:v>
      </x:c>
      <x:c r="L163" s="14" t="str">
        <x:f>IF(J163&gt;0,"Provisional positive contribution","Not viable")</x:f>
        <x:v>Provisional positive contribution</x:v>
      </x:c>
    </x:row>
    <x:row r="164">
      <x:c r="A164" s="14" t="str">
        <x:v>300gsm Oversized Cotton</x:v>
      </x:c>
      <x:c r="B164" s="14" t="n">
        <x:v>50</x:v>
      </x:c>
      <x:c r="C164" s="15" t="n">
        <x:v>699</x:v>
      </x:c>
      <x:c r="D164" s="15" t="n">
        <x:v>349</x:v>
      </x:c>
      <x:c r="E164" s="16" t="n">
        <x:v>0.2</x:v>
      </x:c>
      <x:c r="F164" s="15" t="n">
        <x:f>INDEX('Inputs'!$D$4:$D$6,MATCH(A164,'Inputs'!$A$4:$A$6,0))</x:f>
        <x:v>189</x:v>
      </x:c>
      <x:c r="G164" s="15" t="n">
        <x:f>INDEX('Inputs'!$E$4:$E$6,MATCH(A164,'Inputs'!$A$4:$A$6,0))</x:f>
        <x:v>85</x:v>
      </x:c>
      <x:c r="H164" s="15" t="n">
        <x:f>D164*(1-E164)</x:f>
        <x:v>279.2</x:v>
      </x:c>
      <x:c r="I164" s="15" t="n">
        <x:f>F164+G164</x:f>
        <x:v>274</x:v>
      </x:c>
      <x:c r="J164" s="15" t="n">
        <x:f>H164-I164</x:f>
        <x:v>5.199999999999989</x:v>
      </x:c>
      <x:c r="K164" s="16" t="n">
        <x:f>IFERROR(J164/H164,0)</x:f>
        <x:v>0.018624641833810848</x:v>
      </x:c>
      <x:c r="L164" s="14" t="str">
        <x:f>IF(J164&gt;0,"Provisional positive contribution","Not viable")</x:f>
        <x:v>Provisional positive contribution</x:v>
      </x:c>
    </x:row>
    <x:row r="165">
      <x:c r="A165" s="14" t="str">
        <x:v>300gsm Oversized Cotton</x:v>
      </x:c>
      <x:c r="B165" s="14" t="n">
        <x:v>50</x:v>
      </x:c>
      <x:c r="C165" s="15" t="n">
        <x:v>699</x:v>
      </x:c>
      <x:c r="D165" s="15" t="n">
        <x:v>349</x:v>
      </x:c>
      <x:c r="E165" s="16" t="n">
        <x:v>0.25</x:v>
      </x:c>
      <x:c r="F165" s="15" t="n">
        <x:f>INDEX('Inputs'!$D$4:$D$6,MATCH(A165,'Inputs'!$A$4:$A$6,0))</x:f>
        <x:v>189</x:v>
      </x:c>
      <x:c r="G165" s="15" t="n">
        <x:f>INDEX('Inputs'!$E$4:$E$6,MATCH(A165,'Inputs'!$A$4:$A$6,0))</x:f>
        <x:v>85</x:v>
      </x:c>
      <x:c r="H165" s="15" t="n">
        <x:f>D165*(1-E165)</x:f>
        <x:v>261.75</x:v>
      </x:c>
      <x:c r="I165" s="15" t="n">
        <x:f>F165+G165</x:f>
        <x:v>274</x:v>
      </x:c>
      <x:c r="J165" s="15" t="n">
        <x:f>H165-I165</x:f>
        <x:v>-12.25</x:v>
      </x:c>
      <x:c r="K165" s="16" t="n">
        <x:f>IFERROR(J165/H165,0)</x:f>
        <x:v>-0.04680038204393505</x:v>
      </x:c>
      <x:c r="L165" s="14" t="str">
        <x:f>IF(J165&gt;0,"Provisional positive contribution","Not viable")</x:f>
        <x:v>Not viable</x:v>
      </x:c>
    </x:row>
    <x:row r="166">
      <x:c r="A166" s="14" t="str">
        <x:v>300gsm Oversized Cotton</x:v>
      </x:c>
      <x:c r="B166" s="14" t="n">
        <x:v>50</x:v>
      </x:c>
      <x:c r="C166" s="15" t="n">
        <x:v>699</x:v>
      </x:c>
      <x:c r="D166" s="15" t="n">
        <x:v>349</x:v>
      </x:c>
      <x:c r="E166" s="16" t="n">
        <x:v>0.3</x:v>
      </x:c>
      <x:c r="F166" s="15" t="n">
        <x:f>INDEX('Inputs'!$D$4:$D$6,MATCH(A166,'Inputs'!$A$4:$A$6,0))</x:f>
        <x:v>189</x:v>
      </x:c>
      <x:c r="G166" s="15" t="n">
        <x:f>INDEX('Inputs'!$E$4:$E$6,MATCH(A166,'Inputs'!$A$4:$A$6,0))</x:f>
        <x:v>85</x:v>
      </x:c>
      <x:c r="H166" s="15" t="n">
        <x:f>D166*(1-E166)</x:f>
        <x:v>244.29999999999998</x:v>
      </x:c>
      <x:c r="I166" s="15" t="n">
        <x:f>F166+G166</x:f>
        <x:v>274</x:v>
      </x:c>
      <x:c r="J166" s="15" t="n">
        <x:f>H166-I166</x:f>
        <x:v>-29.700000000000017</x:v>
      </x:c>
      <x:c r="K166" s="16" t="n">
        <x:f>IFERROR(J166/H166,0)</x:f>
        <x:v>-0.1215718379042162</x:v>
      </x:c>
      <x:c r="L166" s="14" t="str">
        <x:f>IF(J166&gt;0,"Provisional positive contribution","Not viable")</x:f>
        <x:v>Not viable</x:v>
      </x:c>
    </x:row>
    <x:row r="167">
      <x:c r="A167" s="14" t="str">
        <x:v>300gsm Oversized Cotton</x:v>
      </x:c>
      <x:c r="B167" s="14" t="n">
        <x:v>50</x:v>
      </x:c>
      <x:c r="C167" s="15" t="n">
        <x:v>699</x:v>
      </x:c>
      <x:c r="D167" s="15" t="n">
        <x:v>349</x:v>
      </x:c>
      <x:c r="E167" s="16" t="n">
        <x:v>0.35</x:v>
      </x:c>
      <x:c r="F167" s="15" t="n">
        <x:f>INDEX('Inputs'!$D$4:$D$6,MATCH(A167,'Inputs'!$A$4:$A$6,0))</x:f>
        <x:v>189</x:v>
      </x:c>
      <x:c r="G167" s="15" t="n">
        <x:f>INDEX('Inputs'!$E$4:$E$6,MATCH(A167,'Inputs'!$A$4:$A$6,0))</x:f>
        <x:v>85</x:v>
      </x:c>
      <x:c r="H167" s="15" t="n">
        <x:f>D167*(1-E167)</x:f>
        <x:v>226.85</x:v>
      </x:c>
      <x:c r="I167" s="15" t="n">
        <x:f>F167+G167</x:f>
        <x:v>274</x:v>
      </x:c>
      <x:c r="J167" s="15" t="n">
        <x:f>H167-I167</x:f>
        <x:v>-47.150000000000006</x:v>
      </x:c>
      <x:c r="K167" s="16" t="n">
        <x:f>IFERROR(J167/H167,0)</x:f>
        <x:v>-0.20784659466607894</x:v>
      </x:c>
      <x:c r="L167" s="14" t="str">
        <x:f>IF(J167&gt;0,"Provisional positive contribution","Not viable")</x:f>
        <x:v>Not viable</x:v>
      </x:c>
    </x:row>
    <x:row r="168">
      <x:c r="A168" s="14" t="str">
        <x:v>300gsm Oversized Cotton</x:v>
      </x:c>
      <x:c r="B168" s="14" t="n">
        <x:v>50</x:v>
      </x:c>
      <x:c r="C168" s="15" t="n">
        <x:v>699</x:v>
      </x:c>
      <x:c r="D168" s="15" t="n">
        <x:v>399</x:v>
      </x:c>
      <x:c r="E168" s="16" t="n">
        <x:v>0.2</x:v>
      </x:c>
      <x:c r="F168" s="15" t="n">
        <x:f>INDEX('Inputs'!$D$4:$D$6,MATCH(A168,'Inputs'!$A$4:$A$6,0))</x:f>
        <x:v>189</x:v>
      </x:c>
      <x:c r="G168" s="15" t="n">
        <x:f>INDEX('Inputs'!$E$4:$E$6,MATCH(A168,'Inputs'!$A$4:$A$6,0))</x:f>
        <x:v>85</x:v>
      </x:c>
      <x:c r="H168" s="15" t="n">
        <x:f>D168*(1-E168)</x:f>
        <x:v>319.20000000000005</x:v>
      </x:c>
      <x:c r="I168" s="15" t="n">
        <x:f>F168+G168</x:f>
        <x:v>274</x:v>
      </x:c>
      <x:c r="J168" s="15" t="n">
        <x:f>H168-I168</x:f>
        <x:v>45.200000000000045</x:v>
      </x:c>
      <x:c r="K168" s="16" t="n">
        <x:f>IFERROR(J168/H168,0)</x:f>
        <x:v>0.1416040100250628</x:v>
      </x:c>
      <x:c r="L168" s="14" t="str">
        <x:f>IF(J168&gt;0,"Provisional positive contribution","Not viable")</x:f>
        <x:v>Provisional positive contribution</x:v>
      </x:c>
    </x:row>
    <x:row r="169">
      <x:c r="A169" s="14" t="str">
        <x:v>300gsm Oversized Cotton</x:v>
      </x:c>
      <x:c r="B169" s="14" t="n">
        <x:v>50</x:v>
      </x:c>
      <x:c r="C169" s="15" t="n">
        <x:v>699</x:v>
      </x:c>
      <x:c r="D169" s="15" t="n">
        <x:v>399</x:v>
      </x:c>
      <x:c r="E169" s="16" t="n">
        <x:v>0.25</x:v>
      </x:c>
      <x:c r="F169" s="15" t="n">
        <x:f>INDEX('Inputs'!$D$4:$D$6,MATCH(A169,'Inputs'!$A$4:$A$6,0))</x:f>
        <x:v>189</x:v>
      </x:c>
      <x:c r="G169" s="15" t="n">
        <x:f>INDEX('Inputs'!$E$4:$E$6,MATCH(A169,'Inputs'!$A$4:$A$6,0))</x:f>
        <x:v>85</x:v>
      </x:c>
      <x:c r="H169" s="15" t="n">
        <x:f>D169*(1-E169)</x:f>
        <x:v>299.25</x:v>
      </x:c>
      <x:c r="I169" s="15" t="n">
        <x:f>F169+G169</x:f>
        <x:v>274</x:v>
      </x:c>
      <x:c r="J169" s="15" t="n">
        <x:f>H169-I169</x:f>
        <x:v>25.25</x:v>
      </x:c>
      <x:c r="K169" s="16" t="n">
        <x:f>IFERROR(J169/H169,0)</x:f>
        <x:v>0.08437761069340016</x:v>
      </x:c>
      <x:c r="L169" s="14" t="str">
        <x:f>IF(J169&gt;0,"Provisional positive contribution","Not viable")</x:f>
        <x:v>Provisional positive contribution</x:v>
      </x:c>
    </x:row>
    <x:row r="170">
      <x:c r="A170" s="14" t="str">
        <x:v>300gsm Oversized Cotton</x:v>
      </x:c>
      <x:c r="B170" s="14" t="n">
        <x:v>50</x:v>
      </x:c>
      <x:c r="C170" s="15" t="n">
        <x:v>699</x:v>
      </x:c>
      <x:c r="D170" s="15" t="n">
        <x:v>399</x:v>
      </x:c>
      <x:c r="E170" s="16" t="n">
        <x:v>0.3</x:v>
      </x:c>
      <x:c r="F170" s="15" t="n">
        <x:f>INDEX('Inputs'!$D$4:$D$6,MATCH(A170,'Inputs'!$A$4:$A$6,0))</x:f>
        <x:v>189</x:v>
      </x:c>
      <x:c r="G170" s="15" t="n">
        <x:f>INDEX('Inputs'!$E$4:$E$6,MATCH(A170,'Inputs'!$A$4:$A$6,0))</x:f>
        <x:v>85</x:v>
      </x:c>
      <x:c r="H170" s="15" t="n">
        <x:f>D170*(1-E170)</x:f>
        <x:v>279.29999999999995</x:v>
      </x:c>
      <x:c r="I170" s="15" t="n">
        <x:f>F170+G170</x:f>
        <x:v>274</x:v>
      </x:c>
      <x:c r="J170" s="15" t="n">
        <x:f>H170-I170</x:f>
        <x:v>5.2999999999999545</x:v>
      </x:c>
      <x:c r="K170" s="16" t="n">
        <x:f>IFERROR(J170/H170,0)</x:f>
        <x:v>0.018976011457214306</x:v>
      </x:c>
      <x:c r="L170" s="14" t="str">
        <x:f>IF(J170&gt;0,"Provisional positive contribution","Not viable")</x:f>
        <x:v>Provisional positive contribution</x:v>
      </x:c>
    </x:row>
    <x:row r="171">
      <x:c r="A171" s="14" t="str">
        <x:v>300gsm Oversized Cotton</x:v>
      </x:c>
      <x:c r="B171" s="14" t="n">
        <x:v>50</x:v>
      </x:c>
      <x:c r="C171" s="15" t="n">
        <x:v>699</x:v>
      </x:c>
      <x:c r="D171" s="15" t="n">
        <x:v>399</x:v>
      </x:c>
      <x:c r="E171" s="16" t="n">
        <x:v>0.35</x:v>
      </x:c>
      <x:c r="F171" s="15" t="n">
        <x:f>INDEX('Inputs'!$D$4:$D$6,MATCH(A171,'Inputs'!$A$4:$A$6,0))</x:f>
        <x:v>189</x:v>
      </x:c>
      <x:c r="G171" s="15" t="n">
        <x:f>INDEX('Inputs'!$E$4:$E$6,MATCH(A171,'Inputs'!$A$4:$A$6,0))</x:f>
        <x:v>85</x:v>
      </x:c>
      <x:c r="H171" s="15" t="n">
        <x:f>D171*(1-E171)</x:f>
        <x:v>259.35</x:v>
      </x:c>
      <x:c r="I171" s="15" t="n">
        <x:f>F171+G171</x:f>
        <x:v>274</x:v>
      </x:c>
      <x:c r="J171" s="15" t="n">
        <x:f>H171-I171</x:f>
        <x:v>-14.649999999999977</x:v>
      </x:c>
      <x:c r="K171" s="16" t="n">
        <x:f>IFERROR(J171/H171,0)</x:f>
        <x:v>-0.05648737227684587</x:v>
      </x:c>
      <x:c r="L171" s="14" t="str">
        <x:f>IF(J171&gt;0,"Provisional positive contribution","Not viable")</x:f>
        <x:v>Not viable</x:v>
      </x:c>
    </x:row>
    <x:row r="172">
      <x:c r="A172" s="14" t="str">
        <x:v>300gsm Oversized Cotton</x:v>
      </x:c>
      <x:c r="B172" s="14" t="n">
        <x:v>50</x:v>
      </x:c>
      <x:c r="C172" s="15" t="n">
        <x:v>699</x:v>
      </x:c>
      <x:c r="D172" s="15" t="n">
        <x:v>449</x:v>
      </x:c>
      <x:c r="E172" s="16" t="n">
        <x:v>0.2</x:v>
      </x:c>
      <x:c r="F172" s="15" t="n">
        <x:f>INDEX('Inputs'!$D$4:$D$6,MATCH(A172,'Inputs'!$A$4:$A$6,0))</x:f>
        <x:v>189</x:v>
      </x:c>
      <x:c r="G172" s="15" t="n">
        <x:f>INDEX('Inputs'!$E$4:$E$6,MATCH(A172,'Inputs'!$A$4:$A$6,0))</x:f>
        <x:v>85</x:v>
      </x:c>
      <x:c r="H172" s="15" t="n">
        <x:f>D172*(1-E172)</x:f>
        <x:v>359.20000000000005</x:v>
      </x:c>
      <x:c r="I172" s="15" t="n">
        <x:f>F172+G172</x:f>
        <x:v>274</x:v>
      </x:c>
      <x:c r="J172" s="15" t="n">
        <x:f>H172-I172</x:f>
        <x:v>85.20000000000005</x:v>
      </x:c>
      <x:c r="K172" s="16" t="n">
        <x:f>IFERROR(J172/H172,0)</x:f>
        <x:v>0.23719376391982191</x:v>
      </x:c>
      <x:c r="L172" s="14" t="str">
        <x:f>IF(J172&gt;0,"Provisional positive contribution","Not viable")</x:f>
        <x:v>Provisional positive contribution</x:v>
      </x:c>
    </x:row>
    <x:row r="173">
      <x:c r="A173" s="14" t="str">
        <x:v>300gsm Oversized Cotton</x:v>
      </x:c>
      <x:c r="B173" s="14" t="n">
        <x:v>50</x:v>
      </x:c>
      <x:c r="C173" s="15" t="n">
        <x:v>699</x:v>
      </x:c>
      <x:c r="D173" s="15" t="n">
        <x:v>449</x:v>
      </x:c>
      <x:c r="E173" s="16" t="n">
        <x:v>0.25</x:v>
      </x:c>
      <x:c r="F173" s="15" t="n">
        <x:f>INDEX('Inputs'!$D$4:$D$6,MATCH(A173,'Inputs'!$A$4:$A$6,0))</x:f>
        <x:v>189</x:v>
      </x:c>
      <x:c r="G173" s="15" t="n">
        <x:f>INDEX('Inputs'!$E$4:$E$6,MATCH(A173,'Inputs'!$A$4:$A$6,0))</x:f>
        <x:v>85</x:v>
      </x:c>
      <x:c r="H173" s="15" t="n">
        <x:f>D173*(1-E173)</x:f>
        <x:v>336.75</x:v>
      </x:c>
      <x:c r="I173" s="15" t="n">
        <x:f>F173+G173</x:f>
        <x:v>274</x:v>
      </x:c>
      <x:c r="J173" s="15" t="n">
        <x:f>H173-I173</x:f>
        <x:v>62.75</x:v>
      </x:c>
      <x:c r="K173" s="16" t="n">
        <x:f>IFERROR(J173/H173,0)</x:f>
        <x:v>0.18634001484780996</x:v>
      </x:c>
      <x:c r="L173" s="14" t="str">
        <x:f>IF(J173&gt;0,"Provisional positive contribution","Not viable")</x:f>
        <x:v>Provisional positive contribution</x:v>
      </x:c>
    </x:row>
    <x:row r="174">
      <x:c r="A174" s="14" t="str">
        <x:v>300gsm Oversized Cotton</x:v>
      </x:c>
      <x:c r="B174" s="14" t="n">
        <x:v>50</x:v>
      </x:c>
      <x:c r="C174" s="15" t="n">
        <x:v>699</x:v>
      </x:c>
      <x:c r="D174" s="15" t="n">
        <x:v>449</x:v>
      </x:c>
      <x:c r="E174" s="16" t="n">
        <x:v>0.3</x:v>
      </x:c>
      <x:c r="F174" s="15" t="n">
        <x:f>INDEX('Inputs'!$D$4:$D$6,MATCH(A174,'Inputs'!$A$4:$A$6,0))</x:f>
        <x:v>189</x:v>
      </x:c>
      <x:c r="G174" s="15" t="n">
        <x:f>INDEX('Inputs'!$E$4:$E$6,MATCH(A174,'Inputs'!$A$4:$A$6,0))</x:f>
        <x:v>85</x:v>
      </x:c>
      <x:c r="H174" s="15" t="n">
        <x:f>D174*(1-E174)</x:f>
        <x:v>314.29999999999995</x:v>
      </x:c>
      <x:c r="I174" s="15" t="n">
        <x:f>F174+G174</x:f>
        <x:v>274</x:v>
      </x:c>
      <x:c r="J174" s="15" t="n">
        <x:f>H174-I174</x:f>
        <x:v>40.299999999999955</x:v>
      </x:c>
      <x:c r="K174" s="16" t="n">
        <x:f>IFERROR(J174/H174,0)</x:f>
        <x:v>0.12822144447979625</x:v>
      </x:c>
      <x:c r="L174" s="14" t="str">
        <x:f>IF(J174&gt;0,"Provisional positive contribution","Not viable")</x:f>
        <x:v>Provisional positive contribution</x:v>
      </x:c>
    </x:row>
    <x:row r="175">
      <x:c r="A175" s="14" t="str">
        <x:v>300gsm Oversized Cotton</x:v>
      </x:c>
      <x:c r="B175" s="14" t="n">
        <x:v>50</x:v>
      </x:c>
      <x:c r="C175" s="15" t="n">
        <x:v>699</x:v>
      </x:c>
      <x:c r="D175" s="15" t="n">
        <x:v>449</x:v>
      </x:c>
      <x:c r="E175" s="16" t="n">
        <x:v>0.35</x:v>
      </x:c>
      <x:c r="F175" s="15" t="n">
        <x:f>INDEX('Inputs'!$D$4:$D$6,MATCH(A175,'Inputs'!$A$4:$A$6,0))</x:f>
        <x:v>189</x:v>
      </x:c>
      <x:c r="G175" s="15" t="n">
        <x:f>INDEX('Inputs'!$E$4:$E$6,MATCH(A175,'Inputs'!$A$4:$A$6,0))</x:f>
        <x:v>85</x:v>
      </x:c>
      <x:c r="H175" s="15" t="n">
        <x:f>D175*(1-E175)</x:f>
        <x:v>291.85</x:v>
      </x:c>
      <x:c r="I175" s="15" t="n">
        <x:f>F175+G175</x:f>
        <x:v>274</x:v>
      </x:c>
      <x:c r="J175" s="15" t="n">
        <x:f>H175-I175</x:f>
        <x:v>17.850000000000023</x:v>
      </x:c>
      <x:c r="K175" s="16" t="n">
        <x:f>IFERROR(J175/H175,0)</x:f>
        <x:v>0.06116155559362694</x:v>
      </x:c>
      <x:c r="L175" s="14" t="str">
        <x:f>IF(J175&gt;0,"Provisional positive contribution","Not viable")</x:f>
        <x:v>Provisional positive contribution</x:v>
      </x:c>
    </x:row>
    <x:row r="176">
      <x:c r="A176" s="14" t="str">
        <x:v>300gsm Oversized Cotton</x:v>
      </x:c>
      <x:c r="B176" s="14" t="n">
        <x:v>50</x:v>
      </x:c>
      <x:c r="C176" s="15" t="n">
        <x:v>699</x:v>
      </x:c>
      <x:c r="D176" s="15" t="n">
        <x:v>499</x:v>
      </x:c>
      <x:c r="E176" s="16" t="n">
        <x:v>0.2</x:v>
      </x:c>
      <x:c r="F176" s="15" t="n">
        <x:f>INDEX('Inputs'!$D$4:$D$6,MATCH(A176,'Inputs'!$A$4:$A$6,0))</x:f>
        <x:v>189</x:v>
      </x:c>
      <x:c r="G176" s="15" t="n">
        <x:f>INDEX('Inputs'!$E$4:$E$6,MATCH(A176,'Inputs'!$A$4:$A$6,0))</x:f>
        <x:v>85</x:v>
      </x:c>
      <x:c r="H176" s="15" t="n">
        <x:f>D176*(1-E176)</x:f>
        <x:v>399.20000000000005</x:v>
      </x:c>
      <x:c r="I176" s="15" t="n">
        <x:f>F176+G176</x:f>
        <x:v>274</x:v>
      </x:c>
      <x:c r="J176" s="15" t="n">
        <x:f>H176-I176</x:f>
        <x:v>125.20000000000005</x:v>
      </x:c>
      <x:c r="K176" s="16" t="n">
        <x:f>IFERROR(J176/H176,0)</x:f>
        <x:v>0.3136272545090181</x:v>
      </x:c>
      <x:c r="L176" s="14" t="str">
        <x:f>IF(J176&gt;0,"Provisional positive contribution","Not viable")</x:f>
        <x:v>Provisional positive contribution</x:v>
      </x:c>
    </x:row>
    <x:row r="177">
      <x:c r="A177" s="14" t="str">
        <x:v>300gsm Oversized Cotton</x:v>
      </x:c>
      <x:c r="B177" s="14" t="n">
        <x:v>50</x:v>
      </x:c>
      <x:c r="C177" s="15" t="n">
        <x:v>699</x:v>
      </x:c>
      <x:c r="D177" s="15" t="n">
        <x:v>499</x:v>
      </x:c>
      <x:c r="E177" s="16" t="n">
        <x:v>0.25</x:v>
      </x:c>
      <x:c r="F177" s="15" t="n">
        <x:f>INDEX('Inputs'!$D$4:$D$6,MATCH(A177,'Inputs'!$A$4:$A$6,0))</x:f>
        <x:v>189</x:v>
      </x:c>
      <x:c r="G177" s="15" t="n">
        <x:f>INDEX('Inputs'!$E$4:$E$6,MATCH(A177,'Inputs'!$A$4:$A$6,0))</x:f>
        <x:v>85</x:v>
      </x:c>
      <x:c r="H177" s="15" t="n">
        <x:f>D177*(1-E177)</x:f>
        <x:v>374.25</x:v>
      </x:c>
      <x:c r="I177" s="15" t="n">
        <x:f>F177+G177</x:f>
        <x:v>274</x:v>
      </x:c>
      <x:c r="J177" s="15" t="n">
        <x:f>H177-I177</x:f>
        <x:v>100.25</x:v>
      </x:c>
      <x:c r="K177" s="16" t="n">
        <x:f>IFERROR(J177/H177,0)</x:f>
        <x:v>0.2678690714762859</x:v>
      </x:c>
      <x:c r="L177" s="14" t="str">
        <x:f>IF(J177&gt;0,"Provisional positive contribution","Not viable")</x:f>
        <x:v>Provisional positive contribution</x:v>
      </x:c>
    </x:row>
    <x:row r="178">
      <x:c r="A178" s="14" t="str">
        <x:v>300gsm Oversized Cotton</x:v>
      </x:c>
      <x:c r="B178" s="14" t="n">
        <x:v>50</x:v>
      </x:c>
      <x:c r="C178" s="15" t="n">
        <x:v>699</x:v>
      </x:c>
      <x:c r="D178" s="15" t="n">
        <x:v>499</x:v>
      </x:c>
      <x:c r="E178" s="16" t="n">
        <x:v>0.3</x:v>
      </x:c>
      <x:c r="F178" s="15" t="n">
        <x:f>INDEX('Inputs'!$D$4:$D$6,MATCH(A178,'Inputs'!$A$4:$A$6,0))</x:f>
        <x:v>189</x:v>
      </x:c>
      <x:c r="G178" s="15" t="n">
        <x:f>INDEX('Inputs'!$E$4:$E$6,MATCH(A178,'Inputs'!$A$4:$A$6,0))</x:f>
        <x:v>85</x:v>
      </x:c>
      <x:c r="H178" s="15" t="n">
        <x:f>D178*(1-E178)</x:f>
        <x:v>349.29999999999995</x:v>
      </x:c>
      <x:c r="I178" s="15" t="n">
        <x:f>F178+G178</x:f>
        <x:v>274</x:v>
      </x:c>
      <x:c r="J178" s="15" t="n">
        <x:f>H178-I178</x:f>
        <x:v>75.29999999999995</x:v>
      </x:c>
      <x:c r="K178" s="16" t="n">
        <x:f>IFERROR(J178/H178,0)</x:f>
        <x:v>0.21557400515316336</x:v>
      </x:c>
      <x:c r="L178" s="14" t="str">
        <x:f>IF(J178&gt;0,"Provisional positive contribution","Not viable")</x:f>
        <x:v>Provisional positive contribution</x:v>
      </x:c>
    </x:row>
    <x:row r="179">
      <x:c r="A179" s="14" t="str">
        <x:v>300gsm Oversized Cotton</x:v>
      </x:c>
      <x:c r="B179" s="14" t="n">
        <x:v>50</x:v>
      </x:c>
      <x:c r="C179" s="15" t="n">
        <x:v>699</x:v>
      </x:c>
      <x:c r="D179" s="15" t="n">
        <x:v>499</x:v>
      </x:c>
      <x:c r="E179" s="16" t="n">
        <x:v>0.35</x:v>
      </x:c>
      <x:c r="F179" s="15" t="n">
        <x:f>INDEX('Inputs'!$D$4:$D$6,MATCH(A179,'Inputs'!$A$4:$A$6,0))</x:f>
        <x:v>189</x:v>
      </x:c>
      <x:c r="G179" s="15" t="n">
        <x:f>INDEX('Inputs'!$E$4:$E$6,MATCH(A179,'Inputs'!$A$4:$A$6,0))</x:f>
        <x:v>85</x:v>
      </x:c>
      <x:c r="H179" s="15" t="n">
        <x:f>D179*(1-E179)</x:f>
        <x:v>324.35</x:v>
      </x:c>
      <x:c r="I179" s="15" t="n">
        <x:f>F179+G179</x:f>
        <x:v>274</x:v>
      </x:c>
      <x:c r="J179" s="15" t="n">
        <x:f>H179-I179</x:f>
        <x:v>50.35000000000002</x:v>
      </x:c>
      <x:c r="K179" s="16" t="n">
        <x:f>IFERROR(J179/H179,0)</x:f>
        <x:v>0.15523354401109918</x:v>
      </x:c>
      <x:c r="L179" s="14" t="str">
        <x:f>IF(J179&gt;0,"Provisional positive contribution","Not viable")</x:f>
        <x:v>Provisional positive contribution</x:v>
      </x:c>
    </x:row>
    <x:row r="180">
      <x:c r="A180" s="14" t="str">
        <x:v>300gsm Oversized Cotton</x:v>
      </x:c>
      <x:c r="B180" s="14" t="n">
        <x:v>50</x:v>
      </x:c>
      <x:c r="C180" s="15" t="n">
        <x:v>749</x:v>
      </x:c>
      <x:c r="D180" s="15" t="n">
        <x:v>349</x:v>
      </x:c>
      <x:c r="E180" s="16" t="n">
        <x:v>0.2</x:v>
      </x:c>
      <x:c r="F180" s="15" t="n">
        <x:f>INDEX('Inputs'!$D$4:$D$6,MATCH(A180,'Inputs'!$A$4:$A$6,0))</x:f>
        <x:v>189</x:v>
      </x:c>
      <x:c r="G180" s="15" t="n">
        <x:f>INDEX('Inputs'!$E$4:$E$6,MATCH(A180,'Inputs'!$A$4:$A$6,0))</x:f>
        <x:v>85</x:v>
      </x:c>
      <x:c r="H180" s="15" t="n">
        <x:f>D180*(1-E180)</x:f>
        <x:v>279.2</x:v>
      </x:c>
      <x:c r="I180" s="15" t="n">
        <x:f>F180+G180</x:f>
        <x:v>274</x:v>
      </x:c>
      <x:c r="J180" s="15" t="n">
        <x:f>H180-I180</x:f>
        <x:v>5.199999999999989</x:v>
      </x:c>
      <x:c r="K180" s="16" t="n">
        <x:f>IFERROR(J180/H180,0)</x:f>
        <x:v>0.018624641833810848</x:v>
      </x:c>
      <x:c r="L180" s="14" t="str">
        <x:f>IF(J180&gt;0,"Provisional positive contribution","Not viable")</x:f>
        <x:v>Provisional positive contribution</x:v>
      </x:c>
    </x:row>
    <x:row r="181">
      <x:c r="A181" s="14" t="str">
        <x:v>300gsm Oversized Cotton</x:v>
      </x:c>
      <x:c r="B181" s="14" t="n">
        <x:v>50</x:v>
      </x:c>
      <x:c r="C181" s="15" t="n">
        <x:v>749</x:v>
      </x:c>
      <x:c r="D181" s="15" t="n">
        <x:v>349</x:v>
      </x:c>
      <x:c r="E181" s="16" t="n">
        <x:v>0.25</x:v>
      </x:c>
      <x:c r="F181" s="15" t="n">
        <x:f>INDEX('Inputs'!$D$4:$D$6,MATCH(A181,'Inputs'!$A$4:$A$6,0))</x:f>
        <x:v>189</x:v>
      </x:c>
      <x:c r="G181" s="15" t="n">
        <x:f>INDEX('Inputs'!$E$4:$E$6,MATCH(A181,'Inputs'!$A$4:$A$6,0))</x:f>
        <x:v>85</x:v>
      </x:c>
      <x:c r="H181" s="15" t="n">
        <x:f>D181*(1-E181)</x:f>
        <x:v>261.75</x:v>
      </x:c>
      <x:c r="I181" s="15" t="n">
        <x:f>F181+G181</x:f>
        <x:v>274</x:v>
      </x:c>
      <x:c r="J181" s="15" t="n">
        <x:f>H181-I181</x:f>
        <x:v>-12.25</x:v>
      </x:c>
      <x:c r="K181" s="16" t="n">
        <x:f>IFERROR(J181/H181,0)</x:f>
        <x:v>-0.04680038204393505</x:v>
      </x:c>
      <x:c r="L181" s="14" t="str">
        <x:f>IF(J181&gt;0,"Provisional positive contribution","Not viable")</x:f>
        <x:v>Not viable</x:v>
      </x:c>
    </x:row>
    <x:row r="182">
      <x:c r="A182" s="14" t="str">
        <x:v>300gsm Oversized Cotton</x:v>
      </x:c>
      <x:c r="B182" s="14" t="n">
        <x:v>50</x:v>
      </x:c>
      <x:c r="C182" s="15" t="n">
        <x:v>749</x:v>
      </x:c>
      <x:c r="D182" s="15" t="n">
        <x:v>349</x:v>
      </x:c>
      <x:c r="E182" s="16" t="n">
        <x:v>0.3</x:v>
      </x:c>
      <x:c r="F182" s="15" t="n">
        <x:f>INDEX('Inputs'!$D$4:$D$6,MATCH(A182,'Inputs'!$A$4:$A$6,0))</x:f>
        <x:v>189</x:v>
      </x:c>
      <x:c r="G182" s="15" t="n">
        <x:f>INDEX('Inputs'!$E$4:$E$6,MATCH(A182,'Inputs'!$A$4:$A$6,0))</x:f>
        <x:v>85</x:v>
      </x:c>
      <x:c r="H182" s="15" t="n">
        <x:f>D182*(1-E182)</x:f>
        <x:v>244.29999999999998</x:v>
      </x:c>
      <x:c r="I182" s="15" t="n">
        <x:f>F182+G182</x:f>
        <x:v>274</x:v>
      </x:c>
      <x:c r="J182" s="15" t="n">
        <x:f>H182-I182</x:f>
        <x:v>-29.700000000000017</x:v>
      </x:c>
      <x:c r="K182" s="16" t="n">
        <x:f>IFERROR(J182/H182,0)</x:f>
        <x:v>-0.1215718379042162</x:v>
      </x:c>
      <x:c r="L182" s="14" t="str">
        <x:f>IF(J182&gt;0,"Provisional positive contribution","Not viable")</x:f>
        <x:v>Not viable</x:v>
      </x:c>
    </x:row>
    <x:row r="183">
      <x:c r="A183" s="14" t="str">
        <x:v>300gsm Oversized Cotton</x:v>
      </x:c>
      <x:c r="B183" s="14" t="n">
        <x:v>50</x:v>
      </x:c>
      <x:c r="C183" s="15" t="n">
        <x:v>749</x:v>
      </x:c>
      <x:c r="D183" s="15" t="n">
        <x:v>349</x:v>
      </x:c>
      <x:c r="E183" s="16" t="n">
        <x:v>0.35</x:v>
      </x:c>
      <x:c r="F183" s="15" t="n">
        <x:f>INDEX('Inputs'!$D$4:$D$6,MATCH(A183,'Inputs'!$A$4:$A$6,0))</x:f>
        <x:v>189</x:v>
      </x:c>
      <x:c r="G183" s="15" t="n">
        <x:f>INDEX('Inputs'!$E$4:$E$6,MATCH(A183,'Inputs'!$A$4:$A$6,0))</x:f>
        <x:v>85</x:v>
      </x:c>
      <x:c r="H183" s="15" t="n">
        <x:f>D183*(1-E183)</x:f>
        <x:v>226.85</x:v>
      </x:c>
      <x:c r="I183" s="15" t="n">
        <x:f>F183+G183</x:f>
        <x:v>274</x:v>
      </x:c>
      <x:c r="J183" s="15" t="n">
        <x:f>H183-I183</x:f>
        <x:v>-47.150000000000006</x:v>
      </x:c>
      <x:c r="K183" s="16" t="n">
        <x:f>IFERROR(J183/H183,0)</x:f>
        <x:v>-0.20784659466607894</x:v>
      </x:c>
      <x:c r="L183" s="14" t="str">
        <x:f>IF(J183&gt;0,"Provisional positive contribution","Not viable")</x:f>
        <x:v>Not viable</x:v>
      </x:c>
    </x:row>
    <x:row r="184">
      <x:c r="A184" s="14" t="str">
        <x:v>300gsm Oversized Cotton</x:v>
      </x:c>
      <x:c r="B184" s="14" t="n">
        <x:v>50</x:v>
      </x:c>
      <x:c r="C184" s="15" t="n">
        <x:v>749</x:v>
      </x:c>
      <x:c r="D184" s="15" t="n">
        <x:v>399</x:v>
      </x:c>
      <x:c r="E184" s="16" t="n">
        <x:v>0.2</x:v>
      </x:c>
      <x:c r="F184" s="15" t="n">
        <x:f>INDEX('Inputs'!$D$4:$D$6,MATCH(A184,'Inputs'!$A$4:$A$6,0))</x:f>
        <x:v>189</x:v>
      </x:c>
      <x:c r="G184" s="15" t="n">
        <x:f>INDEX('Inputs'!$E$4:$E$6,MATCH(A184,'Inputs'!$A$4:$A$6,0))</x:f>
        <x:v>85</x:v>
      </x:c>
      <x:c r="H184" s="15" t="n">
        <x:f>D184*(1-E184)</x:f>
        <x:v>319.20000000000005</x:v>
      </x:c>
      <x:c r="I184" s="15" t="n">
        <x:f>F184+G184</x:f>
        <x:v>274</x:v>
      </x:c>
      <x:c r="J184" s="15" t="n">
        <x:f>H184-I184</x:f>
        <x:v>45.200000000000045</x:v>
      </x:c>
      <x:c r="K184" s="16" t="n">
        <x:f>IFERROR(J184/H184,0)</x:f>
        <x:v>0.1416040100250628</x:v>
      </x:c>
      <x:c r="L184" s="14" t="str">
        <x:f>IF(J184&gt;0,"Provisional positive contribution","Not viable")</x:f>
        <x:v>Provisional positive contribution</x:v>
      </x:c>
    </x:row>
    <x:row r="185">
      <x:c r="A185" s="14" t="str">
        <x:v>300gsm Oversized Cotton</x:v>
      </x:c>
      <x:c r="B185" s="14" t="n">
        <x:v>50</x:v>
      </x:c>
      <x:c r="C185" s="15" t="n">
        <x:v>749</x:v>
      </x:c>
      <x:c r="D185" s="15" t="n">
        <x:v>399</x:v>
      </x:c>
      <x:c r="E185" s="16" t="n">
        <x:v>0.25</x:v>
      </x:c>
      <x:c r="F185" s="15" t="n">
        <x:f>INDEX('Inputs'!$D$4:$D$6,MATCH(A185,'Inputs'!$A$4:$A$6,0))</x:f>
        <x:v>189</x:v>
      </x:c>
      <x:c r="G185" s="15" t="n">
        <x:f>INDEX('Inputs'!$E$4:$E$6,MATCH(A185,'Inputs'!$A$4:$A$6,0))</x:f>
        <x:v>85</x:v>
      </x:c>
      <x:c r="H185" s="15" t="n">
        <x:f>D185*(1-E185)</x:f>
        <x:v>299.25</x:v>
      </x:c>
      <x:c r="I185" s="15" t="n">
        <x:f>F185+G185</x:f>
        <x:v>274</x:v>
      </x:c>
      <x:c r="J185" s="15" t="n">
        <x:f>H185-I185</x:f>
        <x:v>25.25</x:v>
      </x:c>
      <x:c r="K185" s="16" t="n">
        <x:f>IFERROR(J185/H185,0)</x:f>
        <x:v>0.08437761069340016</x:v>
      </x:c>
      <x:c r="L185" s="14" t="str">
        <x:f>IF(J185&gt;0,"Provisional positive contribution","Not viable")</x:f>
        <x:v>Provisional positive contribution</x:v>
      </x:c>
    </x:row>
    <x:row r="186">
      <x:c r="A186" s="14" t="str">
        <x:v>300gsm Oversized Cotton</x:v>
      </x:c>
      <x:c r="B186" s="14" t="n">
        <x:v>50</x:v>
      </x:c>
      <x:c r="C186" s="15" t="n">
        <x:v>749</x:v>
      </x:c>
      <x:c r="D186" s="15" t="n">
        <x:v>399</x:v>
      </x:c>
      <x:c r="E186" s="16" t="n">
        <x:v>0.3</x:v>
      </x:c>
      <x:c r="F186" s="15" t="n">
        <x:f>INDEX('Inputs'!$D$4:$D$6,MATCH(A186,'Inputs'!$A$4:$A$6,0))</x:f>
        <x:v>189</x:v>
      </x:c>
      <x:c r="G186" s="15" t="n">
        <x:f>INDEX('Inputs'!$E$4:$E$6,MATCH(A186,'Inputs'!$A$4:$A$6,0))</x:f>
        <x:v>85</x:v>
      </x:c>
      <x:c r="H186" s="15" t="n">
        <x:f>D186*(1-E186)</x:f>
        <x:v>279.29999999999995</x:v>
      </x:c>
      <x:c r="I186" s="15" t="n">
        <x:f>F186+G186</x:f>
        <x:v>274</x:v>
      </x:c>
      <x:c r="J186" s="15" t="n">
        <x:f>H186-I186</x:f>
        <x:v>5.2999999999999545</x:v>
      </x:c>
      <x:c r="K186" s="16" t="n">
        <x:f>IFERROR(J186/H186,0)</x:f>
        <x:v>0.018976011457214306</x:v>
      </x:c>
      <x:c r="L186" s="14" t="str">
        <x:f>IF(J186&gt;0,"Provisional positive contribution","Not viable")</x:f>
        <x:v>Provisional positive contribution</x:v>
      </x:c>
    </x:row>
    <x:row r="187">
      <x:c r="A187" s="14" t="str">
        <x:v>300gsm Oversized Cotton</x:v>
      </x:c>
      <x:c r="B187" s="14" t="n">
        <x:v>50</x:v>
      </x:c>
      <x:c r="C187" s="15" t="n">
        <x:v>749</x:v>
      </x:c>
      <x:c r="D187" s="15" t="n">
        <x:v>399</x:v>
      </x:c>
      <x:c r="E187" s="16" t="n">
        <x:v>0.35</x:v>
      </x:c>
      <x:c r="F187" s="15" t="n">
        <x:f>INDEX('Inputs'!$D$4:$D$6,MATCH(A187,'Inputs'!$A$4:$A$6,0))</x:f>
        <x:v>189</x:v>
      </x:c>
      <x:c r="G187" s="15" t="n">
        <x:f>INDEX('Inputs'!$E$4:$E$6,MATCH(A187,'Inputs'!$A$4:$A$6,0))</x:f>
        <x:v>85</x:v>
      </x:c>
      <x:c r="H187" s="15" t="n">
        <x:f>D187*(1-E187)</x:f>
        <x:v>259.35</x:v>
      </x:c>
      <x:c r="I187" s="15" t="n">
        <x:f>F187+G187</x:f>
        <x:v>274</x:v>
      </x:c>
      <x:c r="J187" s="15" t="n">
        <x:f>H187-I187</x:f>
        <x:v>-14.649999999999977</x:v>
      </x:c>
      <x:c r="K187" s="16" t="n">
        <x:f>IFERROR(J187/H187,0)</x:f>
        <x:v>-0.05648737227684587</x:v>
      </x:c>
      <x:c r="L187" s="14" t="str">
        <x:f>IF(J187&gt;0,"Provisional positive contribution","Not viable")</x:f>
        <x:v>Not viable</x:v>
      </x:c>
    </x:row>
    <x:row r="188">
      <x:c r="A188" s="14" t="str">
        <x:v>300gsm Oversized Cotton</x:v>
      </x:c>
      <x:c r="B188" s="14" t="n">
        <x:v>50</x:v>
      </x:c>
      <x:c r="C188" s="15" t="n">
        <x:v>749</x:v>
      </x:c>
      <x:c r="D188" s="15" t="n">
        <x:v>449</x:v>
      </x:c>
      <x:c r="E188" s="16" t="n">
        <x:v>0.2</x:v>
      </x:c>
      <x:c r="F188" s="15" t="n">
        <x:f>INDEX('Inputs'!$D$4:$D$6,MATCH(A188,'Inputs'!$A$4:$A$6,0))</x:f>
        <x:v>189</x:v>
      </x:c>
      <x:c r="G188" s="15" t="n">
        <x:f>INDEX('Inputs'!$E$4:$E$6,MATCH(A188,'Inputs'!$A$4:$A$6,0))</x:f>
        <x:v>85</x:v>
      </x:c>
      <x:c r="H188" s="15" t="n">
        <x:f>D188*(1-E188)</x:f>
        <x:v>359.20000000000005</x:v>
      </x:c>
      <x:c r="I188" s="15" t="n">
        <x:f>F188+G188</x:f>
        <x:v>274</x:v>
      </x:c>
      <x:c r="J188" s="15" t="n">
        <x:f>H188-I188</x:f>
        <x:v>85.20000000000005</x:v>
      </x:c>
      <x:c r="K188" s="16" t="n">
        <x:f>IFERROR(J188/H188,0)</x:f>
        <x:v>0.23719376391982191</x:v>
      </x:c>
      <x:c r="L188" s="14" t="str">
        <x:f>IF(J188&gt;0,"Provisional positive contribution","Not viable")</x:f>
        <x:v>Provisional positive contribution</x:v>
      </x:c>
    </x:row>
    <x:row r="189">
      <x:c r="A189" s="14" t="str">
        <x:v>300gsm Oversized Cotton</x:v>
      </x:c>
      <x:c r="B189" s="14" t="n">
        <x:v>50</x:v>
      </x:c>
      <x:c r="C189" s="15" t="n">
        <x:v>749</x:v>
      </x:c>
      <x:c r="D189" s="15" t="n">
        <x:v>449</x:v>
      </x:c>
      <x:c r="E189" s="16" t="n">
        <x:v>0.25</x:v>
      </x:c>
      <x:c r="F189" s="15" t="n">
        <x:f>INDEX('Inputs'!$D$4:$D$6,MATCH(A189,'Inputs'!$A$4:$A$6,0))</x:f>
        <x:v>189</x:v>
      </x:c>
      <x:c r="G189" s="15" t="n">
        <x:f>INDEX('Inputs'!$E$4:$E$6,MATCH(A189,'Inputs'!$A$4:$A$6,0))</x:f>
        <x:v>85</x:v>
      </x:c>
      <x:c r="H189" s="15" t="n">
        <x:f>D189*(1-E189)</x:f>
        <x:v>336.75</x:v>
      </x:c>
      <x:c r="I189" s="15" t="n">
        <x:f>F189+G189</x:f>
        <x:v>274</x:v>
      </x:c>
      <x:c r="J189" s="15" t="n">
        <x:f>H189-I189</x:f>
        <x:v>62.75</x:v>
      </x:c>
      <x:c r="K189" s="16" t="n">
        <x:f>IFERROR(J189/H189,0)</x:f>
        <x:v>0.18634001484780996</x:v>
      </x:c>
      <x:c r="L189" s="14" t="str">
        <x:f>IF(J189&gt;0,"Provisional positive contribution","Not viable")</x:f>
        <x:v>Provisional positive contribution</x:v>
      </x:c>
    </x:row>
    <x:row r="190">
      <x:c r="A190" s="14" t="str">
        <x:v>300gsm Oversized Cotton</x:v>
      </x:c>
      <x:c r="B190" s="14" t="n">
        <x:v>50</x:v>
      </x:c>
      <x:c r="C190" s="15" t="n">
        <x:v>749</x:v>
      </x:c>
      <x:c r="D190" s="15" t="n">
        <x:v>449</x:v>
      </x:c>
      <x:c r="E190" s="16" t="n">
        <x:v>0.3</x:v>
      </x:c>
      <x:c r="F190" s="15" t="n">
        <x:f>INDEX('Inputs'!$D$4:$D$6,MATCH(A190,'Inputs'!$A$4:$A$6,0))</x:f>
        <x:v>189</x:v>
      </x:c>
      <x:c r="G190" s="15" t="n">
        <x:f>INDEX('Inputs'!$E$4:$E$6,MATCH(A190,'Inputs'!$A$4:$A$6,0))</x:f>
        <x:v>85</x:v>
      </x:c>
      <x:c r="H190" s="15" t="n">
        <x:f>D190*(1-E190)</x:f>
        <x:v>314.29999999999995</x:v>
      </x:c>
      <x:c r="I190" s="15" t="n">
        <x:f>F190+G190</x:f>
        <x:v>274</x:v>
      </x:c>
      <x:c r="J190" s="15" t="n">
        <x:f>H190-I190</x:f>
        <x:v>40.299999999999955</x:v>
      </x:c>
      <x:c r="K190" s="16" t="n">
        <x:f>IFERROR(J190/H190,0)</x:f>
        <x:v>0.12822144447979625</x:v>
      </x:c>
      <x:c r="L190" s="14" t="str">
        <x:f>IF(J190&gt;0,"Provisional positive contribution","Not viable")</x:f>
        <x:v>Provisional positive contribution</x:v>
      </x:c>
    </x:row>
    <x:row r="191">
      <x:c r="A191" s="14" t="str">
        <x:v>300gsm Oversized Cotton</x:v>
      </x:c>
      <x:c r="B191" s="14" t="n">
        <x:v>50</x:v>
      </x:c>
      <x:c r="C191" s="15" t="n">
        <x:v>749</x:v>
      </x:c>
      <x:c r="D191" s="15" t="n">
        <x:v>449</x:v>
      </x:c>
      <x:c r="E191" s="16" t="n">
        <x:v>0.35</x:v>
      </x:c>
      <x:c r="F191" s="15" t="n">
        <x:f>INDEX('Inputs'!$D$4:$D$6,MATCH(A191,'Inputs'!$A$4:$A$6,0))</x:f>
        <x:v>189</x:v>
      </x:c>
      <x:c r="G191" s="15" t="n">
        <x:f>INDEX('Inputs'!$E$4:$E$6,MATCH(A191,'Inputs'!$A$4:$A$6,0))</x:f>
        <x:v>85</x:v>
      </x:c>
      <x:c r="H191" s="15" t="n">
        <x:f>D191*(1-E191)</x:f>
        <x:v>291.85</x:v>
      </x:c>
      <x:c r="I191" s="15" t="n">
        <x:f>F191+G191</x:f>
        <x:v>274</x:v>
      </x:c>
      <x:c r="J191" s="15" t="n">
        <x:f>H191-I191</x:f>
        <x:v>17.850000000000023</x:v>
      </x:c>
      <x:c r="K191" s="16" t="n">
        <x:f>IFERROR(J191/H191,0)</x:f>
        <x:v>0.06116155559362694</x:v>
      </x:c>
      <x:c r="L191" s="14" t="str">
        <x:f>IF(J191&gt;0,"Provisional positive contribution","Not viable")</x:f>
        <x:v>Provisional positive contribution</x:v>
      </x:c>
    </x:row>
    <x:row r="192">
      <x:c r="A192" s="14" t="str">
        <x:v>300gsm Oversized Cotton</x:v>
      </x:c>
      <x:c r="B192" s="14" t="n">
        <x:v>50</x:v>
      </x:c>
      <x:c r="C192" s="15" t="n">
        <x:v>749</x:v>
      </x:c>
      <x:c r="D192" s="15" t="n">
        <x:v>499</x:v>
      </x:c>
      <x:c r="E192" s="16" t="n">
        <x:v>0.2</x:v>
      </x:c>
      <x:c r="F192" s="15" t="n">
        <x:f>INDEX('Inputs'!$D$4:$D$6,MATCH(A192,'Inputs'!$A$4:$A$6,0))</x:f>
        <x:v>189</x:v>
      </x:c>
      <x:c r="G192" s="15" t="n">
        <x:f>INDEX('Inputs'!$E$4:$E$6,MATCH(A192,'Inputs'!$A$4:$A$6,0))</x:f>
        <x:v>85</x:v>
      </x:c>
      <x:c r="H192" s="15" t="n">
        <x:f>D192*(1-E192)</x:f>
        <x:v>399.20000000000005</x:v>
      </x:c>
      <x:c r="I192" s="15" t="n">
        <x:f>F192+G192</x:f>
        <x:v>274</x:v>
      </x:c>
      <x:c r="J192" s="15" t="n">
        <x:f>H192-I192</x:f>
        <x:v>125.20000000000005</x:v>
      </x:c>
      <x:c r="K192" s="16" t="n">
        <x:f>IFERROR(J192/H192,0)</x:f>
        <x:v>0.3136272545090181</x:v>
      </x:c>
      <x:c r="L192" s="14" t="str">
        <x:f>IF(J192&gt;0,"Provisional positive contribution","Not viable")</x:f>
        <x:v>Provisional positive contribution</x:v>
      </x:c>
    </x:row>
    <x:row r="193">
      <x:c r="A193" s="14" t="str">
        <x:v>300gsm Oversized Cotton</x:v>
      </x:c>
      <x:c r="B193" s="14" t="n">
        <x:v>50</x:v>
      </x:c>
      <x:c r="C193" s="15" t="n">
        <x:v>749</x:v>
      </x:c>
      <x:c r="D193" s="15" t="n">
        <x:v>499</x:v>
      </x:c>
      <x:c r="E193" s="16" t="n">
        <x:v>0.25</x:v>
      </x:c>
      <x:c r="F193" s="15" t="n">
        <x:f>INDEX('Inputs'!$D$4:$D$6,MATCH(A193,'Inputs'!$A$4:$A$6,0))</x:f>
        <x:v>189</x:v>
      </x:c>
      <x:c r="G193" s="15" t="n">
        <x:f>INDEX('Inputs'!$E$4:$E$6,MATCH(A193,'Inputs'!$A$4:$A$6,0))</x:f>
        <x:v>85</x:v>
      </x:c>
      <x:c r="H193" s="15" t="n">
        <x:f>D193*(1-E193)</x:f>
        <x:v>374.25</x:v>
      </x:c>
      <x:c r="I193" s="15" t="n">
        <x:f>F193+G193</x:f>
        <x:v>274</x:v>
      </x:c>
      <x:c r="J193" s="15" t="n">
        <x:f>H193-I193</x:f>
        <x:v>100.25</x:v>
      </x:c>
      <x:c r="K193" s="16" t="n">
        <x:f>IFERROR(J193/H193,0)</x:f>
        <x:v>0.2678690714762859</x:v>
      </x:c>
      <x:c r="L193" s="14" t="str">
        <x:f>IF(J193&gt;0,"Provisional positive contribution","Not viable")</x:f>
        <x:v>Provisional positive contribution</x:v>
      </x:c>
    </x:row>
    <x:row r="194">
      <x:c r="A194" s="14" t="str">
        <x:v>300gsm Oversized Cotton</x:v>
      </x:c>
      <x:c r="B194" s="14" t="n">
        <x:v>50</x:v>
      </x:c>
      <x:c r="C194" s="15" t="n">
        <x:v>749</x:v>
      </x:c>
      <x:c r="D194" s="15" t="n">
        <x:v>499</x:v>
      </x:c>
      <x:c r="E194" s="16" t="n">
        <x:v>0.3</x:v>
      </x:c>
      <x:c r="F194" s="15" t="n">
        <x:f>INDEX('Inputs'!$D$4:$D$6,MATCH(A194,'Inputs'!$A$4:$A$6,0))</x:f>
        <x:v>189</x:v>
      </x:c>
      <x:c r="G194" s="15" t="n">
        <x:f>INDEX('Inputs'!$E$4:$E$6,MATCH(A194,'Inputs'!$A$4:$A$6,0))</x:f>
        <x:v>85</x:v>
      </x:c>
      <x:c r="H194" s="15" t="n">
        <x:f>D194*(1-E194)</x:f>
        <x:v>349.29999999999995</x:v>
      </x:c>
      <x:c r="I194" s="15" t="n">
        <x:f>F194+G194</x:f>
        <x:v>274</x:v>
      </x:c>
      <x:c r="J194" s="15" t="n">
        <x:f>H194-I194</x:f>
        <x:v>75.29999999999995</x:v>
      </x:c>
      <x:c r="K194" s="16" t="n">
        <x:f>IFERROR(J194/H194,0)</x:f>
        <x:v>0.21557400515316336</x:v>
      </x:c>
      <x:c r="L194" s="14" t="str">
        <x:f>IF(J194&gt;0,"Provisional positive contribution","Not viable")</x:f>
        <x:v>Provisional positive contribution</x:v>
      </x:c>
    </x:row>
    <x:row r="195">
      <x:c r="A195" s="14" t="str">
        <x:v>300gsm Oversized Cotton</x:v>
      </x:c>
      <x:c r="B195" s="14" t="n">
        <x:v>50</x:v>
      </x:c>
      <x:c r="C195" s="15" t="n">
        <x:v>749</x:v>
      </x:c>
      <x:c r="D195" s="15" t="n">
        <x:v>499</x:v>
      </x:c>
      <x:c r="E195" s="16" t="n">
        <x:v>0.35</x:v>
      </x:c>
      <x:c r="F195" s="15" t="n">
        <x:f>INDEX('Inputs'!$D$4:$D$6,MATCH(A195,'Inputs'!$A$4:$A$6,0))</x:f>
        <x:v>189</x:v>
      </x:c>
      <x:c r="G195" s="15" t="n">
        <x:f>INDEX('Inputs'!$E$4:$E$6,MATCH(A195,'Inputs'!$A$4:$A$6,0))</x:f>
        <x:v>85</x:v>
      </x:c>
      <x:c r="H195" s="15" t="n">
        <x:f>D195*(1-E195)</x:f>
        <x:v>324.35</x:v>
      </x:c>
      <x:c r="I195" s="15" t="n">
        <x:f>F195+G195</x:f>
        <x:v>274</x:v>
      </x:c>
      <x:c r="J195" s="15" t="n">
        <x:f>H195-I195</x:f>
        <x:v>50.35000000000002</x:v>
      </x:c>
      <x:c r="K195" s="16" t="n">
        <x:f>IFERROR(J195/H195,0)</x:f>
        <x:v>0.15523354401109918</x:v>
      </x:c>
      <x:c r="L195" s="14" t="str">
        <x:f>IF(J195&gt;0,"Provisional positive contribution","Not viable")</x:f>
        <x:v>Provisional positive contribution</x:v>
      </x:c>
    </x:row>
    <x:row r="196">
      <x:c r="A196" s="14" t="str">
        <x:v>300gsm Oversized Cotton</x:v>
      </x:c>
      <x:c r="B196" s="14" t="n">
        <x:v>100</x:v>
      </x:c>
      <x:c r="C196" s="15" t="n">
        <x:v>599</x:v>
      </x:c>
      <x:c r="D196" s="15" t="n">
        <x:v>349</x:v>
      </x:c>
      <x:c r="E196" s="16" t="n">
        <x:v>0.2</x:v>
      </x:c>
      <x:c r="F196" s="15" t="n">
        <x:f>INDEX('Inputs'!$D$4:$D$6,MATCH(A196,'Inputs'!$A$4:$A$6,0))</x:f>
        <x:v>189</x:v>
      </x:c>
      <x:c r="G196" s="15" t="n">
        <x:f>INDEX('Inputs'!$E$4:$E$6,MATCH(A196,'Inputs'!$A$4:$A$6,0))</x:f>
        <x:v>85</x:v>
      </x:c>
      <x:c r="H196" s="15" t="n">
        <x:f>D196*(1-E196)</x:f>
        <x:v>279.2</x:v>
      </x:c>
      <x:c r="I196" s="15" t="n">
        <x:f>F196+G196</x:f>
        <x:v>274</x:v>
      </x:c>
      <x:c r="J196" s="15" t="n">
        <x:f>H196-I196</x:f>
        <x:v>5.199999999999989</x:v>
      </x:c>
      <x:c r="K196" s="16" t="n">
        <x:f>IFERROR(J196/H196,0)</x:f>
        <x:v>0.018624641833810848</x:v>
      </x:c>
      <x:c r="L196" s="14" t="str">
        <x:f>IF(J196&gt;0,"Provisional positive contribution","Not viable")</x:f>
        <x:v>Provisional positive contribution</x:v>
      </x:c>
    </x:row>
    <x:row r="197">
      <x:c r="A197" s="14" t="str">
        <x:v>300gsm Oversized Cotton</x:v>
      </x:c>
      <x:c r="B197" s="14" t="n">
        <x:v>100</x:v>
      </x:c>
      <x:c r="C197" s="15" t="n">
        <x:v>599</x:v>
      </x:c>
      <x:c r="D197" s="15" t="n">
        <x:v>349</x:v>
      </x:c>
      <x:c r="E197" s="16" t="n">
        <x:v>0.25</x:v>
      </x:c>
      <x:c r="F197" s="15" t="n">
        <x:f>INDEX('Inputs'!$D$4:$D$6,MATCH(A197,'Inputs'!$A$4:$A$6,0))</x:f>
        <x:v>189</x:v>
      </x:c>
      <x:c r="G197" s="15" t="n">
        <x:f>INDEX('Inputs'!$E$4:$E$6,MATCH(A197,'Inputs'!$A$4:$A$6,0))</x:f>
        <x:v>85</x:v>
      </x:c>
      <x:c r="H197" s="15" t="n">
        <x:f>D197*(1-E197)</x:f>
        <x:v>261.75</x:v>
      </x:c>
      <x:c r="I197" s="15" t="n">
        <x:f>F197+G197</x:f>
        <x:v>274</x:v>
      </x:c>
      <x:c r="J197" s="15" t="n">
        <x:f>H197-I197</x:f>
        <x:v>-12.25</x:v>
      </x:c>
      <x:c r="K197" s="16" t="n">
        <x:f>IFERROR(J197/H197,0)</x:f>
        <x:v>-0.04680038204393505</x:v>
      </x:c>
      <x:c r="L197" s="14" t="str">
        <x:f>IF(J197&gt;0,"Provisional positive contribution","Not viable")</x:f>
        <x:v>Not viable</x:v>
      </x:c>
    </x:row>
    <x:row r="198">
      <x:c r="A198" s="14" t="str">
        <x:v>300gsm Oversized Cotton</x:v>
      </x:c>
      <x:c r="B198" s="14" t="n">
        <x:v>100</x:v>
      </x:c>
      <x:c r="C198" s="15" t="n">
        <x:v>599</x:v>
      </x:c>
      <x:c r="D198" s="15" t="n">
        <x:v>349</x:v>
      </x:c>
      <x:c r="E198" s="16" t="n">
        <x:v>0.3</x:v>
      </x:c>
      <x:c r="F198" s="15" t="n">
        <x:f>INDEX('Inputs'!$D$4:$D$6,MATCH(A198,'Inputs'!$A$4:$A$6,0))</x:f>
        <x:v>189</x:v>
      </x:c>
      <x:c r="G198" s="15" t="n">
        <x:f>INDEX('Inputs'!$E$4:$E$6,MATCH(A198,'Inputs'!$A$4:$A$6,0))</x:f>
        <x:v>85</x:v>
      </x:c>
      <x:c r="H198" s="15" t="n">
        <x:f>D198*(1-E198)</x:f>
        <x:v>244.29999999999998</x:v>
      </x:c>
      <x:c r="I198" s="15" t="n">
        <x:f>F198+G198</x:f>
        <x:v>274</x:v>
      </x:c>
      <x:c r="J198" s="15" t="n">
        <x:f>H198-I198</x:f>
        <x:v>-29.700000000000017</x:v>
      </x:c>
      <x:c r="K198" s="16" t="n">
        <x:f>IFERROR(J198/H198,0)</x:f>
        <x:v>-0.1215718379042162</x:v>
      </x:c>
      <x:c r="L198" s="14" t="str">
        <x:f>IF(J198&gt;0,"Provisional positive contribution","Not viable")</x:f>
        <x:v>Not viable</x:v>
      </x:c>
    </x:row>
    <x:row r="199">
      <x:c r="A199" s="14" t="str">
        <x:v>300gsm Oversized Cotton</x:v>
      </x:c>
      <x:c r="B199" s="14" t="n">
        <x:v>100</x:v>
      </x:c>
      <x:c r="C199" s="15" t="n">
        <x:v>599</x:v>
      </x:c>
      <x:c r="D199" s="15" t="n">
        <x:v>349</x:v>
      </x:c>
      <x:c r="E199" s="16" t="n">
        <x:v>0.35</x:v>
      </x:c>
      <x:c r="F199" s="15" t="n">
        <x:f>INDEX('Inputs'!$D$4:$D$6,MATCH(A199,'Inputs'!$A$4:$A$6,0))</x:f>
        <x:v>189</x:v>
      </x:c>
      <x:c r="G199" s="15" t="n">
        <x:f>INDEX('Inputs'!$E$4:$E$6,MATCH(A199,'Inputs'!$A$4:$A$6,0))</x:f>
        <x:v>85</x:v>
      </x:c>
      <x:c r="H199" s="15" t="n">
        <x:f>D199*(1-E199)</x:f>
        <x:v>226.85</x:v>
      </x:c>
      <x:c r="I199" s="15" t="n">
        <x:f>F199+G199</x:f>
        <x:v>274</x:v>
      </x:c>
      <x:c r="J199" s="15" t="n">
        <x:f>H199-I199</x:f>
        <x:v>-47.150000000000006</x:v>
      </x:c>
      <x:c r="K199" s="16" t="n">
        <x:f>IFERROR(J199/H199,0)</x:f>
        <x:v>-0.20784659466607894</x:v>
      </x:c>
      <x:c r="L199" s="14" t="str">
        <x:f>IF(J199&gt;0,"Provisional positive contribution","Not viable")</x:f>
        <x:v>Not viable</x:v>
      </x:c>
    </x:row>
    <x:row r="200">
      <x:c r="A200" s="14" t="str">
        <x:v>300gsm Oversized Cotton</x:v>
      </x:c>
      <x:c r="B200" s="14" t="n">
        <x:v>100</x:v>
      </x:c>
      <x:c r="C200" s="15" t="n">
        <x:v>599</x:v>
      </x:c>
      <x:c r="D200" s="15" t="n">
        <x:v>399</x:v>
      </x:c>
      <x:c r="E200" s="16" t="n">
        <x:v>0.2</x:v>
      </x:c>
      <x:c r="F200" s="15" t="n">
        <x:f>INDEX('Inputs'!$D$4:$D$6,MATCH(A200,'Inputs'!$A$4:$A$6,0))</x:f>
        <x:v>189</x:v>
      </x:c>
      <x:c r="G200" s="15" t="n">
        <x:f>INDEX('Inputs'!$E$4:$E$6,MATCH(A200,'Inputs'!$A$4:$A$6,0))</x:f>
        <x:v>85</x:v>
      </x:c>
      <x:c r="H200" s="15" t="n">
        <x:f>D200*(1-E200)</x:f>
        <x:v>319.20000000000005</x:v>
      </x:c>
      <x:c r="I200" s="15" t="n">
        <x:f>F200+G200</x:f>
        <x:v>274</x:v>
      </x:c>
      <x:c r="J200" s="15" t="n">
        <x:f>H200-I200</x:f>
        <x:v>45.200000000000045</x:v>
      </x:c>
      <x:c r="K200" s="16" t="n">
        <x:f>IFERROR(J200/H200,0)</x:f>
        <x:v>0.1416040100250628</x:v>
      </x:c>
      <x:c r="L200" s="14" t="str">
        <x:f>IF(J200&gt;0,"Provisional positive contribution","Not viable")</x:f>
        <x:v>Provisional positive contribution</x:v>
      </x:c>
    </x:row>
    <x:row r="201">
      <x:c r="A201" s="14" t="str">
        <x:v>300gsm Oversized Cotton</x:v>
      </x:c>
      <x:c r="B201" s="14" t="n">
        <x:v>100</x:v>
      </x:c>
      <x:c r="C201" s="15" t="n">
        <x:v>599</x:v>
      </x:c>
      <x:c r="D201" s="15" t="n">
        <x:v>399</x:v>
      </x:c>
      <x:c r="E201" s="16" t="n">
        <x:v>0.25</x:v>
      </x:c>
      <x:c r="F201" s="15" t="n">
        <x:f>INDEX('Inputs'!$D$4:$D$6,MATCH(A201,'Inputs'!$A$4:$A$6,0))</x:f>
        <x:v>189</x:v>
      </x:c>
      <x:c r="G201" s="15" t="n">
        <x:f>INDEX('Inputs'!$E$4:$E$6,MATCH(A201,'Inputs'!$A$4:$A$6,0))</x:f>
        <x:v>85</x:v>
      </x:c>
      <x:c r="H201" s="15" t="n">
        <x:f>D201*(1-E201)</x:f>
        <x:v>299.25</x:v>
      </x:c>
      <x:c r="I201" s="15" t="n">
        <x:f>F201+G201</x:f>
        <x:v>274</x:v>
      </x:c>
      <x:c r="J201" s="15" t="n">
        <x:f>H201-I201</x:f>
        <x:v>25.25</x:v>
      </x:c>
      <x:c r="K201" s="16" t="n">
        <x:f>IFERROR(J201/H201,0)</x:f>
        <x:v>0.08437761069340016</x:v>
      </x:c>
      <x:c r="L201" s="14" t="str">
        <x:f>IF(J201&gt;0,"Provisional positive contribution","Not viable")</x:f>
        <x:v>Provisional positive contribution</x:v>
      </x:c>
    </x:row>
    <x:row r="202">
      <x:c r="A202" s="14" t="str">
        <x:v>300gsm Oversized Cotton</x:v>
      </x:c>
      <x:c r="B202" s="14" t="n">
        <x:v>100</x:v>
      </x:c>
      <x:c r="C202" s="15" t="n">
        <x:v>599</x:v>
      </x:c>
      <x:c r="D202" s="15" t="n">
        <x:v>399</x:v>
      </x:c>
      <x:c r="E202" s="16" t="n">
        <x:v>0.3</x:v>
      </x:c>
      <x:c r="F202" s="15" t="n">
        <x:f>INDEX('Inputs'!$D$4:$D$6,MATCH(A202,'Inputs'!$A$4:$A$6,0))</x:f>
        <x:v>189</x:v>
      </x:c>
      <x:c r="G202" s="15" t="n">
        <x:f>INDEX('Inputs'!$E$4:$E$6,MATCH(A202,'Inputs'!$A$4:$A$6,0))</x:f>
        <x:v>85</x:v>
      </x:c>
      <x:c r="H202" s="15" t="n">
        <x:f>D202*(1-E202)</x:f>
        <x:v>279.29999999999995</x:v>
      </x:c>
      <x:c r="I202" s="15" t="n">
        <x:f>F202+G202</x:f>
        <x:v>274</x:v>
      </x:c>
      <x:c r="J202" s="15" t="n">
        <x:f>H202-I202</x:f>
        <x:v>5.2999999999999545</x:v>
      </x:c>
      <x:c r="K202" s="16" t="n">
        <x:f>IFERROR(J202/H202,0)</x:f>
        <x:v>0.018976011457214306</x:v>
      </x:c>
      <x:c r="L202" s="14" t="str">
        <x:f>IF(J202&gt;0,"Provisional positive contribution","Not viable")</x:f>
        <x:v>Provisional positive contribution</x:v>
      </x:c>
    </x:row>
    <x:row r="203">
      <x:c r="A203" s="14" t="str">
        <x:v>300gsm Oversized Cotton</x:v>
      </x:c>
      <x:c r="B203" s="14" t="n">
        <x:v>100</x:v>
      </x:c>
      <x:c r="C203" s="15" t="n">
        <x:v>599</x:v>
      </x:c>
      <x:c r="D203" s="15" t="n">
        <x:v>399</x:v>
      </x:c>
      <x:c r="E203" s="16" t="n">
        <x:v>0.35</x:v>
      </x:c>
      <x:c r="F203" s="15" t="n">
        <x:f>INDEX('Inputs'!$D$4:$D$6,MATCH(A203,'Inputs'!$A$4:$A$6,0))</x:f>
        <x:v>189</x:v>
      </x:c>
      <x:c r="G203" s="15" t="n">
        <x:f>INDEX('Inputs'!$E$4:$E$6,MATCH(A203,'Inputs'!$A$4:$A$6,0))</x:f>
        <x:v>85</x:v>
      </x:c>
      <x:c r="H203" s="15" t="n">
        <x:f>D203*(1-E203)</x:f>
        <x:v>259.35</x:v>
      </x:c>
      <x:c r="I203" s="15" t="n">
        <x:f>F203+G203</x:f>
        <x:v>274</x:v>
      </x:c>
      <x:c r="J203" s="15" t="n">
        <x:f>H203-I203</x:f>
        <x:v>-14.649999999999977</x:v>
      </x:c>
      <x:c r="K203" s="16" t="n">
        <x:f>IFERROR(J203/H203,0)</x:f>
        <x:v>-0.05648737227684587</x:v>
      </x:c>
      <x:c r="L203" s="14" t="str">
        <x:f>IF(J203&gt;0,"Provisional positive contribution","Not viable")</x:f>
        <x:v>Not viable</x:v>
      </x:c>
    </x:row>
    <x:row r="204">
      <x:c r="A204" s="14" t="str">
        <x:v>300gsm Oversized Cotton</x:v>
      </x:c>
      <x:c r="B204" s="14" t="n">
        <x:v>100</x:v>
      </x:c>
      <x:c r="C204" s="15" t="n">
        <x:v>599</x:v>
      </x:c>
      <x:c r="D204" s="15" t="n">
        <x:v>449</x:v>
      </x:c>
      <x:c r="E204" s="16" t="n">
        <x:v>0.2</x:v>
      </x:c>
      <x:c r="F204" s="15" t="n">
        <x:f>INDEX('Inputs'!$D$4:$D$6,MATCH(A204,'Inputs'!$A$4:$A$6,0))</x:f>
        <x:v>189</x:v>
      </x:c>
      <x:c r="G204" s="15" t="n">
        <x:f>INDEX('Inputs'!$E$4:$E$6,MATCH(A204,'Inputs'!$A$4:$A$6,0))</x:f>
        <x:v>85</x:v>
      </x:c>
      <x:c r="H204" s="15" t="n">
        <x:f>D204*(1-E204)</x:f>
        <x:v>359.20000000000005</x:v>
      </x:c>
      <x:c r="I204" s="15" t="n">
        <x:f>F204+G204</x:f>
        <x:v>274</x:v>
      </x:c>
      <x:c r="J204" s="15" t="n">
        <x:f>H204-I204</x:f>
        <x:v>85.20000000000005</x:v>
      </x:c>
      <x:c r="K204" s="16" t="n">
        <x:f>IFERROR(J204/H204,0)</x:f>
        <x:v>0.23719376391982191</x:v>
      </x:c>
      <x:c r="L204" s="14" t="str">
        <x:f>IF(J204&gt;0,"Provisional positive contribution","Not viable")</x:f>
        <x:v>Provisional positive contribution</x:v>
      </x:c>
    </x:row>
    <x:row r="205">
      <x:c r="A205" s="14" t="str">
        <x:v>300gsm Oversized Cotton</x:v>
      </x:c>
      <x:c r="B205" s="14" t="n">
        <x:v>100</x:v>
      </x:c>
      <x:c r="C205" s="15" t="n">
        <x:v>599</x:v>
      </x:c>
      <x:c r="D205" s="15" t="n">
        <x:v>449</x:v>
      </x:c>
      <x:c r="E205" s="16" t="n">
        <x:v>0.25</x:v>
      </x:c>
      <x:c r="F205" s="15" t="n">
        <x:f>INDEX('Inputs'!$D$4:$D$6,MATCH(A205,'Inputs'!$A$4:$A$6,0))</x:f>
        <x:v>189</x:v>
      </x:c>
      <x:c r="G205" s="15" t="n">
        <x:f>INDEX('Inputs'!$E$4:$E$6,MATCH(A205,'Inputs'!$A$4:$A$6,0))</x:f>
        <x:v>85</x:v>
      </x:c>
      <x:c r="H205" s="15" t="n">
        <x:f>D205*(1-E205)</x:f>
        <x:v>336.75</x:v>
      </x:c>
      <x:c r="I205" s="15" t="n">
        <x:f>F205+G205</x:f>
        <x:v>274</x:v>
      </x:c>
      <x:c r="J205" s="15" t="n">
        <x:f>H205-I205</x:f>
        <x:v>62.75</x:v>
      </x:c>
      <x:c r="K205" s="16" t="n">
        <x:f>IFERROR(J205/H205,0)</x:f>
        <x:v>0.18634001484780996</x:v>
      </x:c>
      <x:c r="L205" s="14" t="str">
        <x:f>IF(J205&gt;0,"Provisional positive contribution","Not viable")</x:f>
        <x:v>Provisional positive contribution</x:v>
      </x:c>
    </x:row>
    <x:row r="206">
      <x:c r="A206" s="14" t="str">
        <x:v>300gsm Oversized Cotton</x:v>
      </x:c>
      <x:c r="B206" s="14" t="n">
        <x:v>100</x:v>
      </x:c>
      <x:c r="C206" s="15" t="n">
        <x:v>599</x:v>
      </x:c>
      <x:c r="D206" s="15" t="n">
        <x:v>449</x:v>
      </x:c>
      <x:c r="E206" s="16" t="n">
        <x:v>0.3</x:v>
      </x:c>
      <x:c r="F206" s="15" t="n">
        <x:f>INDEX('Inputs'!$D$4:$D$6,MATCH(A206,'Inputs'!$A$4:$A$6,0))</x:f>
        <x:v>189</x:v>
      </x:c>
      <x:c r="G206" s="15" t="n">
        <x:f>INDEX('Inputs'!$E$4:$E$6,MATCH(A206,'Inputs'!$A$4:$A$6,0))</x:f>
        <x:v>85</x:v>
      </x:c>
      <x:c r="H206" s="15" t="n">
        <x:f>D206*(1-E206)</x:f>
        <x:v>314.29999999999995</x:v>
      </x:c>
      <x:c r="I206" s="15" t="n">
        <x:f>F206+G206</x:f>
        <x:v>274</x:v>
      </x:c>
      <x:c r="J206" s="15" t="n">
        <x:f>H206-I206</x:f>
        <x:v>40.299999999999955</x:v>
      </x:c>
      <x:c r="K206" s="16" t="n">
        <x:f>IFERROR(J206/H206,0)</x:f>
        <x:v>0.12822144447979625</x:v>
      </x:c>
      <x:c r="L206" s="14" t="str">
        <x:f>IF(J206&gt;0,"Provisional positive contribution","Not viable")</x:f>
        <x:v>Provisional positive contribution</x:v>
      </x:c>
    </x:row>
    <x:row r="207">
      <x:c r="A207" s="14" t="str">
        <x:v>300gsm Oversized Cotton</x:v>
      </x:c>
      <x:c r="B207" s="14" t="n">
        <x:v>100</x:v>
      </x:c>
      <x:c r="C207" s="15" t="n">
        <x:v>599</x:v>
      </x:c>
      <x:c r="D207" s="15" t="n">
        <x:v>449</x:v>
      </x:c>
      <x:c r="E207" s="16" t="n">
        <x:v>0.35</x:v>
      </x:c>
      <x:c r="F207" s="15" t="n">
        <x:f>INDEX('Inputs'!$D$4:$D$6,MATCH(A207,'Inputs'!$A$4:$A$6,0))</x:f>
        <x:v>189</x:v>
      </x:c>
      <x:c r="G207" s="15" t="n">
        <x:f>INDEX('Inputs'!$E$4:$E$6,MATCH(A207,'Inputs'!$A$4:$A$6,0))</x:f>
        <x:v>85</x:v>
      </x:c>
      <x:c r="H207" s="15" t="n">
        <x:f>D207*(1-E207)</x:f>
        <x:v>291.85</x:v>
      </x:c>
      <x:c r="I207" s="15" t="n">
        <x:f>F207+G207</x:f>
        <x:v>274</x:v>
      </x:c>
      <x:c r="J207" s="15" t="n">
        <x:f>H207-I207</x:f>
        <x:v>17.850000000000023</x:v>
      </x:c>
      <x:c r="K207" s="16" t="n">
        <x:f>IFERROR(J207/H207,0)</x:f>
        <x:v>0.06116155559362694</x:v>
      </x:c>
      <x:c r="L207" s="14" t="str">
        <x:f>IF(J207&gt;0,"Provisional positive contribution","Not viable")</x:f>
        <x:v>Provisional positive contribution</x:v>
      </x:c>
    </x:row>
    <x:row r="208">
      <x:c r="A208" s="14" t="str">
        <x:v>300gsm Oversized Cotton</x:v>
      </x:c>
      <x:c r="B208" s="14" t="n">
        <x:v>100</x:v>
      </x:c>
      <x:c r="C208" s="15" t="n">
        <x:v>599</x:v>
      </x:c>
      <x:c r="D208" s="15" t="n">
        <x:v>499</x:v>
      </x:c>
      <x:c r="E208" s="16" t="n">
        <x:v>0.2</x:v>
      </x:c>
      <x:c r="F208" s="15" t="n">
        <x:f>INDEX('Inputs'!$D$4:$D$6,MATCH(A208,'Inputs'!$A$4:$A$6,0))</x:f>
        <x:v>189</x:v>
      </x:c>
      <x:c r="G208" s="15" t="n">
        <x:f>INDEX('Inputs'!$E$4:$E$6,MATCH(A208,'Inputs'!$A$4:$A$6,0))</x:f>
        <x:v>85</x:v>
      </x:c>
      <x:c r="H208" s="15" t="n">
        <x:f>D208*(1-E208)</x:f>
        <x:v>399.20000000000005</x:v>
      </x:c>
      <x:c r="I208" s="15" t="n">
        <x:f>F208+G208</x:f>
        <x:v>274</x:v>
      </x:c>
      <x:c r="J208" s="15" t="n">
        <x:f>H208-I208</x:f>
        <x:v>125.20000000000005</x:v>
      </x:c>
      <x:c r="K208" s="16" t="n">
        <x:f>IFERROR(J208/H208,0)</x:f>
        <x:v>0.3136272545090181</x:v>
      </x:c>
      <x:c r="L208" s="14" t="str">
        <x:f>IF(J208&gt;0,"Provisional positive contribution","Not viable")</x:f>
        <x:v>Provisional positive contribution</x:v>
      </x:c>
    </x:row>
    <x:row r="209">
      <x:c r="A209" s="14" t="str">
        <x:v>300gsm Oversized Cotton</x:v>
      </x:c>
      <x:c r="B209" s="14" t="n">
        <x:v>100</x:v>
      </x:c>
      <x:c r="C209" s="15" t="n">
        <x:v>599</x:v>
      </x:c>
      <x:c r="D209" s="15" t="n">
        <x:v>499</x:v>
      </x:c>
      <x:c r="E209" s="16" t="n">
        <x:v>0.25</x:v>
      </x:c>
      <x:c r="F209" s="15" t="n">
        <x:f>INDEX('Inputs'!$D$4:$D$6,MATCH(A209,'Inputs'!$A$4:$A$6,0))</x:f>
        <x:v>189</x:v>
      </x:c>
      <x:c r="G209" s="15" t="n">
        <x:f>INDEX('Inputs'!$E$4:$E$6,MATCH(A209,'Inputs'!$A$4:$A$6,0))</x:f>
        <x:v>85</x:v>
      </x:c>
      <x:c r="H209" s="15" t="n">
        <x:f>D209*(1-E209)</x:f>
        <x:v>374.25</x:v>
      </x:c>
      <x:c r="I209" s="15" t="n">
        <x:f>F209+G209</x:f>
        <x:v>274</x:v>
      </x:c>
      <x:c r="J209" s="15" t="n">
        <x:f>H209-I209</x:f>
        <x:v>100.25</x:v>
      </x:c>
      <x:c r="K209" s="16" t="n">
        <x:f>IFERROR(J209/H209,0)</x:f>
        <x:v>0.2678690714762859</x:v>
      </x:c>
      <x:c r="L209" s="14" t="str">
        <x:f>IF(J209&gt;0,"Provisional positive contribution","Not viable")</x:f>
        <x:v>Provisional positive contribution</x:v>
      </x:c>
    </x:row>
    <x:row r="210">
      <x:c r="A210" s="14" t="str">
        <x:v>300gsm Oversized Cotton</x:v>
      </x:c>
      <x:c r="B210" s="14" t="n">
        <x:v>100</x:v>
      </x:c>
      <x:c r="C210" s="15" t="n">
        <x:v>599</x:v>
      </x:c>
      <x:c r="D210" s="15" t="n">
        <x:v>499</x:v>
      </x:c>
      <x:c r="E210" s="16" t="n">
        <x:v>0.3</x:v>
      </x:c>
      <x:c r="F210" s="15" t="n">
        <x:f>INDEX('Inputs'!$D$4:$D$6,MATCH(A210,'Inputs'!$A$4:$A$6,0))</x:f>
        <x:v>189</x:v>
      </x:c>
      <x:c r="G210" s="15" t="n">
        <x:f>INDEX('Inputs'!$E$4:$E$6,MATCH(A210,'Inputs'!$A$4:$A$6,0))</x:f>
        <x:v>85</x:v>
      </x:c>
      <x:c r="H210" s="15" t="n">
        <x:f>D210*(1-E210)</x:f>
        <x:v>349.29999999999995</x:v>
      </x:c>
      <x:c r="I210" s="15" t="n">
        <x:f>F210+G210</x:f>
        <x:v>274</x:v>
      </x:c>
      <x:c r="J210" s="15" t="n">
        <x:f>H210-I210</x:f>
        <x:v>75.29999999999995</x:v>
      </x:c>
      <x:c r="K210" s="16" t="n">
        <x:f>IFERROR(J210/H210,0)</x:f>
        <x:v>0.21557400515316336</x:v>
      </x:c>
      <x:c r="L210" s="14" t="str">
        <x:f>IF(J210&gt;0,"Provisional positive contribution","Not viable")</x:f>
        <x:v>Provisional positive contribution</x:v>
      </x:c>
    </x:row>
    <x:row r="211">
      <x:c r="A211" s="14" t="str">
        <x:v>300gsm Oversized Cotton</x:v>
      </x:c>
      <x:c r="B211" s="14" t="n">
        <x:v>100</x:v>
      </x:c>
      <x:c r="C211" s="15" t="n">
        <x:v>599</x:v>
      </x:c>
      <x:c r="D211" s="15" t="n">
        <x:v>499</x:v>
      </x:c>
      <x:c r="E211" s="16" t="n">
        <x:v>0.35</x:v>
      </x:c>
      <x:c r="F211" s="15" t="n">
        <x:f>INDEX('Inputs'!$D$4:$D$6,MATCH(A211,'Inputs'!$A$4:$A$6,0))</x:f>
        <x:v>189</x:v>
      </x:c>
      <x:c r="G211" s="15" t="n">
        <x:f>INDEX('Inputs'!$E$4:$E$6,MATCH(A211,'Inputs'!$A$4:$A$6,0))</x:f>
        <x:v>85</x:v>
      </x:c>
      <x:c r="H211" s="15" t="n">
        <x:f>D211*(1-E211)</x:f>
        <x:v>324.35</x:v>
      </x:c>
      <x:c r="I211" s="15" t="n">
        <x:f>F211+G211</x:f>
        <x:v>274</x:v>
      </x:c>
      <x:c r="J211" s="15" t="n">
        <x:f>H211-I211</x:f>
        <x:v>50.35000000000002</x:v>
      </x:c>
      <x:c r="K211" s="16" t="n">
        <x:f>IFERROR(J211/H211,0)</x:f>
        <x:v>0.15523354401109918</x:v>
      </x:c>
      <x:c r="L211" s="14" t="str">
        <x:f>IF(J211&gt;0,"Provisional positive contribution","Not viable")</x:f>
        <x:v>Provisional positive contribution</x:v>
      </x:c>
    </x:row>
    <x:row r="212">
      <x:c r="A212" s="14" t="str">
        <x:v>300gsm Oversized Cotton</x:v>
      </x:c>
      <x:c r="B212" s="14" t="n">
        <x:v>100</x:v>
      </x:c>
      <x:c r="C212" s="15" t="n">
        <x:v>649</x:v>
      </x:c>
      <x:c r="D212" s="15" t="n">
        <x:v>349</x:v>
      </x:c>
      <x:c r="E212" s="16" t="n">
        <x:v>0.2</x:v>
      </x:c>
      <x:c r="F212" s="15" t="n">
        <x:f>INDEX('Inputs'!$D$4:$D$6,MATCH(A212,'Inputs'!$A$4:$A$6,0))</x:f>
        <x:v>189</x:v>
      </x:c>
      <x:c r="G212" s="15" t="n">
        <x:f>INDEX('Inputs'!$E$4:$E$6,MATCH(A212,'Inputs'!$A$4:$A$6,0))</x:f>
        <x:v>85</x:v>
      </x:c>
      <x:c r="H212" s="15" t="n">
        <x:f>D212*(1-E212)</x:f>
        <x:v>279.2</x:v>
      </x:c>
      <x:c r="I212" s="15" t="n">
        <x:f>F212+G212</x:f>
        <x:v>274</x:v>
      </x:c>
      <x:c r="J212" s="15" t="n">
        <x:f>H212-I212</x:f>
        <x:v>5.199999999999989</x:v>
      </x:c>
      <x:c r="K212" s="16" t="n">
        <x:f>IFERROR(J212/H212,0)</x:f>
        <x:v>0.018624641833810848</x:v>
      </x:c>
      <x:c r="L212" s="14" t="str">
        <x:f>IF(J212&gt;0,"Provisional positive contribution","Not viable")</x:f>
        <x:v>Provisional positive contribution</x:v>
      </x:c>
    </x:row>
    <x:row r="213">
      <x:c r="A213" s="14" t="str">
        <x:v>300gsm Oversized Cotton</x:v>
      </x:c>
      <x:c r="B213" s="14" t="n">
        <x:v>100</x:v>
      </x:c>
      <x:c r="C213" s="15" t="n">
        <x:v>649</x:v>
      </x:c>
      <x:c r="D213" s="15" t="n">
        <x:v>349</x:v>
      </x:c>
      <x:c r="E213" s="16" t="n">
        <x:v>0.25</x:v>
      </x:c>
      <x:c r="F213" s="15" t="n">
        <x:f>INDEX('Inputs'!$D$4:$D$6,MATCH(A213,'Inputs'!$A$4:$A$6,0))</x:f>
        <x:v>189</x:v>
      </x:c>
      <x:c r="G213" s="15" t="n">
        <x:f>INDEX('Inputs'!$E$4:$E$6,MATCH(A213,'Inputs'!$A$4:$A$6,0))</x:f>
        <x:v>85</x:v>
      </x:c>
      <x:c r="H213" s="15" t="n">
        <x:f>D213*(1-E213)</x:f>
        <x:v>261.75</x:v>
      </x:c>
      <x:c r="I213" s="15" t="n">
        <x:f>F213+G213</x:f>
        <x:v>274</x:v>
      </x:c>
      <x:c r="J213" s="15" t="n">
        <x:f>H213-I213</x:f>
        <x:v>-12.25</x:v>
      </x:c>
      <x:c r="K213" s="16" t="n">
        <x:f>IFERROR(J213/H213,0)</x:f>
        <x:v>-0.04680038204393505</x:v>
      </x:c>
      <x:c r="L213" s="14" t="str">
        <x:f>IF(J213&gt;0,"Provisional positive contribution","Not viable")</x:f>
        <x:v>Not viable</x:v>
      </x:c>
    </x:row>
    <x:row r="214">
      <x:c r="A214" s="14" t="str">
        <x:v>300gsm Oversized Cotton</x:v>
      </x:c>
      <x:c r="B214" s="14" t="n">
        <x:v>100</x:v>
      </x:c>
      <x:c r="C214" s="15" t="n">
        <x:v>649</x:v>
      </x:c>
      <x:c r="D214" s="15" t="n">
        <x:v>349</x:v>
      </x:c>
      <x:c r="E214" s="16" t="n">
        <x:v>0.3</x:v>
      </x:c>
      <x:c r="F214" s="15" t="n">
        <x:f>INDEX('Inputs'!$D$4:$D$6,MATCH(A214,'Inputs'!$A$4:$A$6,0))</x:f>
        <x:v>189</x:v>
      </x:c>
      <x:c r="G214" s="15" t="n">
        <x:f>INDEX('Inputs'!$E$4:$E$6,MATCH(A214,'Inputs'!$A$4:$A$6,0))</x:f>
        <x:v>85</x:v>
      </x:c>
      <x:c r="H214" s="15" t="n">
        <x:f>D214*(1-E214)</x:f>
        <x:v>244.29999999999998</x:v>
      </x:c>
      <x:c r="I214" s="15" t="n">
        <x:f>F214+G214</x:f>
        <x:v>274</x:v>
      </x:c>
      <x:c r="J214" s="15" t="n">
        <x:f>H214-I214</x:f>
        <x:v>-29.700000000000017</x:v>
      </x:c>
      <x:c r="K214" s="16" t="n">
        <x:f>IFERROR(J214/H214,0)</x:f>
        <x:v>-0.1215718379042162</x:v>
      </x:c>
      <x:c r="L214" s="14" t="str">
        <x:f>IF(J214&gt;0,"Provisional positive contribution","Not viable")</x:f>
        <x:v>Not viable</x:v>
      </x:c>
    </x:row>
    <x:row r="215">
      <x:c r="A215" s="14" t="str">
        <x:v>300gsm Oversized Cotton</x:v>
      </x:c>
      <x:c r="B215" s="14" t="n">
        <x:v>100</x:v>
      </x:c>
      <x:c r="C215" s="15" t="n">
        <x:v>649</x:v>
      </x:c>
      <x:c r="D215" s="15" t="n">
        <x:v>349</x:v>
      </x:c>
      <x:c r="E215" s="16" t="n">
        <x:v>0.35</x:v>
      </x:c>
      <x:c r="F215" s="15" t="n">
        <x:f>INDEX('Inputs'!$D$4:$D$6,MATCH(A215,'Inputs'!$A$4:$A$6,0))</x:f>
        <x:v>189</x:v>
      </x:c>
      <x:c r="G215" s="15" t="n">
        <x:f>INDEX('Inputs'!$E$4:$E$6,MATCH(A215,'Inputs'!$A$4:$A$6,0))</x:f>
        <x:v>85</x:v>
      </x:c>
      <x:c r="H215" s="15" t="n">
        <x:f>D215*(1-E215)</x:f>
        <x:v>226.85</x:v>
      </x:c>
      <x:c r="I215" s="15" t="n">
        <x:f>F215+G215</x:f>
        <x:v>274</x:v>
      </x:c>
      <x:c r="J215" s="15" t="n">
        <x:f>H215-I215</x:f>
        <x:v>-47.150000000000006</x:v>
      </x:c>
      <x:c r="K215" s="16" t="n">
        <x:f>IFERROR(J215/H215,0)</x:f>
        <x:v>-0.20784659466607894</x:v>
      </x:c>
      <x:c r="L215" s="14" t="str">
        <x:f>IF(J215&gt;0,"Provisional positive contribution","Not viable")</x:f>
        <x:v>Not viable</x:v>
      </x:c>
    </x:row>
    <x:row r="216">
      <x:c r="A216" s="14" t="str">
        <x:v>300gsm Oversized Cotton</x:v>
      </x:c>
      <x:c r="B216" s="14" t="n">
        <x:v>100</x:v>
      </x:c>
      <x:c r="C216" s="15" t="n">
        <x:v>649</x:v>
      </x:c>
      <x:c r="D216" s="15" t="n">
        <x:v>399</x:v>
      </x:c>
      <x:c r="E216" s="16" t="n">
        <x:v>0.2</x:v>
      </x:c>
      <x:c r="F216" s="15" t="n">
        <x:f>INDEX('Inputs'!$D$4:$D$6,MATCH(A216,'Inputs'!$A$4:$A$6,0))</x:f>
        <x:v>189</x:v>
      </x:c>
      <x:c r="G216" s="15" t="n">
        <x:f>INDEX('Inputs'!$E$4:$E$6,MATCH(A216,'Inputs'!$A$4:$A$6,0))</x:f>
        <x:v>85</x:v>
      </x:c>
      <x:c r="H216" s="15" t="n">
        <x:f>D216*(1-E216)</x:f>
        <x:v>319.20000000000005</x:v>
      </x:c>
      <x:c r="I216" s="15" t="n">
        <x:f>F216+G216</x:f>
        <x:v>274</x:v>
      </x:c>
      <x:c r="J216" s="15" t="n">
        <x:f>H216-I216</x:f>
        <x:v>45.200000000000045</x:v>
      </x:c>
      <x:c r="K216" s="16" t="n">
        <x:f>IFERROR(J216/H216,0)</x:f>
        <x:v>0.1416040100250628</x:v>
      </x:c>
      <x:c r="L216" s="14" t="str">
        <x:f>IF(J216&gt;0,"Provisional positive contribution","Not viable")</x:f>
        <x:v>Provisional positive contribution</x:v>
      </x:c>
    </x:row>
    <x:row r="217">
      <x:c r="A217" s="14" t="str">
        <x:v>300gsm Oversized Cotton</x:v>
      </x:c>
      <x:c r="B217" s="14" t="n">
        <x:v>100</x:v>
      </x:c>
      <x:c r="C217" s="15" t="n">
        <x:v>649</x:v>
      </x:c>
      <x:c r="D217" s="15" t="n">
        <x:v>399</x:v>
      </x:c>
      <x:c r="E217" s="16" t="n">
        <x:v>0.25</x:v>
      </x:c>
      <x:c r="F217" s="15" t="n">
        <x:f>INDEX('Inputs'!$D$4:$D$6,MATCH(A217,'Inputs'!$A$4:$A$6,0))</x:f>
        <x:v>189</x:v>
      </x:c>
      <x:c r="G217" s="15" t="n">
        <x:f>INDEX('Inputs'!$E$4:$E$6,MATCH(A217,'Inputs'!$A$4:$A$6,0))</x:f>
        <x:v>85</x:v>
      </x:c>
      <x:c r="H217" s="15" t="n">
        <x:f>D217*(1-E217)</x:f>
        <x:v>299.25</x:v>
      </x:c>
      <x:c r="I217" s="15" t="n">
        <x:f>F217+G217</x:f>
        <x:v>274</x:v>
      </x:c>
      <x:c r="J217" s="15" t="n">
        <x:f>H217-I217</x:f>
        <x:v>25.25</x:v>
      </x:c>
      <x:c r="K217" s="16" t="n">
        <x:f>IFERROR(J217/H217,0)</x:f>
        <x:v>0.08437761069340016</x:v>
      </x:c>
      <x:c r="L217" s="14" t="str">
        <x:f>IF(J217&gt;0,"Provisional positive contribution","Not viable")</x:f>
        <x:v>Provisional positive contribution</x:v>
      </x:c>
    </x:row>
    <x:row r="218">
      <x:c r="A218" s="14" t="str">
        <x:v>300gsm Oversized Cotton</x:v>
      </x:c>
      <x:c r="B218" s="14" t="n">
        <x:v>100</x:v>
      </x:c>
      <x:c r="C218" s="15" t="n">
        <x:v>649</x:v>
      </x:c>
      <x:c r="D218" s="15" t="n">
        <x:v>399</x:v>
      </x:c>
      <x:c r="E218" s="16" t="n">
        <x:v>0.3</x:v>
      </x:c>
      <x:c r="F218" s="15" t="n">
        <x:f>INDEX('Inputs'!$D$4:$D$6,MATCH(A218,'Inputs'!$A$4:$A$6,0))</x:f>
        <x:v>189</x:v>
      </x:c>
      <x:c r="G218" s="15" t="n">
        <x:f>INDEX('Inputs'!$E$4:$E$6,MATCH(A218,'Inputs'!$A$4:$A$6,0))</x:f>
        <x:v>85</x:v>
      </x:c>
      <x:c r="H218" s="15" t="n">
        <x:f>D218*(1-E218)</x:f>
        <x:v>279.29999999999995</x:v>
      </x:c>
      <x:c r="I218" s="15" t="n">
        <x:f>F218+G218</x:f>
        <x:v>274</x:v>
      </x:c>
      <x:c r="J218" s="15" t="n">
        <x:f>H218-I218</x:f>
        <x:v>5.2999999999999545</x:v>
      </x:c>
      <x:c r="K218" s="16" t="n">
        <x:f>IFERROR(J218/H218,0)</x:f>
        <x:v>0.018976011457214306</x:v>
      </x:c>
      <x:c r="L218" s="14" t="str">
        <x:f>IF(J218&gt;0,"Provisional positive contribution","Not viable")</x:f>
        <x:v>Provisional positive contribution</x:v>
      </x:c>
    </x:row>
    <x:row r="219">
      <x:c r="A219" s="14" t="str">
        <x:v>300gsm Oversized Cotton</x:v>
      </x:c>
      <x:c r="B219" s="14" t="n">
        <x:v>100</x:v>
      </x:c>
      <x:c r="C219" s="15" t="n">
        <x:v>649</x:v>
      </x:c>
      <x:c r="D219" s="15" t="n">
        <x:v>399</x:v>
      </x:c>
      <x:c r="E219" s="16" t="n">
        <x:v>0.35</x:v>
      </x:c>
      <x:c r="F219" s="15" t="n">
        <x:f>INDEX('Inputs'!$D$4:$D$6,MATCH(A219,'Inputs'!$A$4:$A$6,0))</x:f>
        <x:v>189</x:v>
      </x:c>
      <x:c r="G219" s="15" t="n">
        <x:f>INDEX('Inputs'!$E$4:$E$6,MATCH(A219,'Inputs'!$A$4:$A$6,0))</x:f>
        <x:v>85</x:v>
      </x:c>
      <x:c r="H219" s="15" t="n">
        <x:f>D219*(1-E219)</x:f>
        <x:v>259.35</x:v>
      </x:c>
      <x:c r="I219" s="15" t="n">
        <x:f>F219+G219</x:f>
        <x:v>274</x:v>
      </x:c>
      <x:c r="J219" s="15" t="n">
        <x:f>H219-I219</x:f>
        <x:v>-14.649999999999977</x:v>
      </x:c>
      <x:c r="K219" s="16" t="n">
        <x:f>IFERROR(J219/H219,0)</x:f>
        <x:v>-0.05648737227684587</x:v>
      </x:c>
      <x:c r="L219" s="14" t="str">
        <x:f>IF(J219&gt;0,"Provisional positive contribution","Not viable")</x:f>
        <x:v>Not viable</x:v>
      </x:c>
    </x:row>
    <x:row r="220">
      <x:c r="A220" s="14" t="str">
        <x:v>300gsm Oversized Cotton</x:v>
      </x:c>
      <x:c r="B220" s="14" t="n">
        <x:v>100</x:v>
      </x:c>
      <x:c r="C220" s="15" t="n">
        <x:v>649</x:v>
      </x:c>
      <x:c r="D220" s="15" t="n">
        <x:v>449</x:v>
      </x:c>
      <x:c r="E220" s="16" t="n">
        <x:v>0.2</x:v>
      </x:c>
      <x:c r="F220" s="15" t="n">
        <x:f>INDEX('Inputs'!$D$4:$D$6,MATCH(A220,'Inputs'!$A$4:$A$6,0))</x:f>
        <x:v>189</x:v>
      </x:c>
      <x:c r="G220" s="15" t="n">
        <x:f>INDEX('Inputs'!$E$4:$E$6,MATCH(A220,'Inputs'!$A$4:$A$6,0))</x:f>
        <x:v>85</x:v>
      </x:c>
      <x:c r="H220" s="15" t="n">
        <x:f>D220*(1-E220)</x:f>
        <x:v>359.20000000000005</x:v>
      </x:c>
      <x:c r="I220" s="15" t="n">
        <x:f>F220+G220</x:f>
        <x:v>274</x:v>
      </x:c>
      <x:c r="J220" s="15" t="n">
        <x:f>H220-I220</x:f>
        <x:v>85.20000000000005</x:v>
      </x:c>
      <x:c r="K220" s="16" t="n">
        <x:f>IFERROR(J220/H220,0)</x:f>
        <x:v>0.23719376391982191</x:v>
      </x:c>
      <x:c r="L220" s="14" t="str">
        <x:f>IF(J220&gt;0,"Provisional positive contribution","Not viable")</x:f>
        <x:v>Provisional positive contribution</x:v>
      </x:c>
    </x:row>
    <x:row r="221">
      <x:c r="A221" s="14" t="str">
        <x:v>300gsm Oversized Cotton</x:v>
      </x:c>
      <x:c r="B221" s="14" t="n">
        <x:v>100</x:v>
      </x:c>
      <x:c r="C221" s="15" t="n">
        <x:v>649</x:v>
      </x:c>
      <x:c r="D221" s="15" t="n">
        <x:v>449</x:v>
      </x:c>
      <x:c r="E221" s="16" t="n">
        <x:v>0.25</x:v>
      </x:c>
      <x:c r="F221" s="15" t="n">
        <x:f>INDEX('Inputs'!$D$4:$D$6,MATCH(A221,'Inputs'!$A$4:$A$6,0))</x:f>
        <x:v>189</x:v>
      </x:c>
      <x:c r="G221" s="15" t="n">
        <x:f>INDEX('Inputs'!$E$4:$E$6,MATCH(A221,'Inputs'!$A$4:$A$6,0))</x:f>
        <x:v>85</x:v>
      </x:c>
      <x:c r="H221" s="15" t="n">
        <x:f>D221*(1-E221)</x:f>
        <x:v>336.75</x:v>
      </x:c>
      <x:c r="I221" s="15" t="n">
        <x:f>F221+G221</x:f>
        <x:v>274</x:v>
      </x:c>
      <x:c r="J221" s="15" t="n">
        <x:f>H221-I221</x:f>
        <x:v>62.75</x:v>
      </x:c>
      <x:c r="K221" s="16" t="n">
        <x:f>IFERROR(J221/H221,0)</x:f>
        <x:v>0.18634001484780996</x:v>
      </x:c>
      <x:c r="L221" s="14" t="str">
        <x:f>IF(J221&gt;0,"Provisional positive contribution","Not viable")</x:f>
        <x:v>Provisional positive contribution</x:v>
      </x:c>
    </x:row>
    <x:row r="222">
      <x:c r="A222" s="14" t="str">
        <x:v>300gsm Oversized Cotton</x:v>
      </x:c>
      <x:c r="B222" s="14" t="n">
        <x:v>100</x:v>
      </x:c>
      <x:c r="C222" s="15" t="n">
        <x:v>649</x:v>
      </x:c>
      <x:c r="D222" s="15" t="n">
        <x:v>449</x:v>
      </x:c>
      <x:c r="E222" s="16" t="n">
        <x:v>0.3</x:v>
      </x:c>
      <x:c r="F222" s="15" t="n">
        <x:f>INDEX('Inputs'!$D$4:$D$6,MATCH(A222,'Inputs'!$A$4:$A$6,0))</x:f>
        <x:v>189</x:v>
      </x:c>
      <x:c r="G222" s="15" t="n">
        <x:f>INDEX('Inputs'!$E$4:$E$6,MATCH(A222,'Inputs'!$A$4:$A$6,0))</x:f>
        <x:v>85</x:v>
      </x:c>
      <x:c r="H222" s="15" t="n">
        <x:f>D222*(1-E222)</x:f>
        <x:v>314.29999999999995</x:v>
      </x:c>
      <x:c r="I222" s="15" t="n">
        <x:f>F222+G222</x:f>
        <x:v>274</x:v>
      </x:c>
      <x:c r="J222" s="15" t="n">
        <x:f>H222-I222</x:f>
        <x:v>40.299999999999955</x:v>
      </x:c>
      <x:c r="K222" s="16" t="n">
        <x:f>IFERROR(J222/H222,0)</x:f>
        <x:v>0.12822144447979625</x:v>
      </x:c>
      <x:c r="L222" s="14" t="str">
        <x:f>IF(J222&gt;0,"Provisional positive contribution","Not viable")</x:f>
        <x:v>Provisional positive contribution</x:v>
      </x:c>
    </x:row>
    <x:row r="223">
      <x:c r="A223" s="14" t="str">
        <x:v>300gsm Oversized Cotton</x:v>
      </x:c>
      <x:c r="B223" s="14" t="n">
        <x:v>100</x:v>
      </x:c>
      <x:c r="C223" s="15" t="n">
        <x:v>649</x:v>
      </x:c>
      <x:c r="D223" s="15" t="n">
        <x:v>449</x:v>
      </x:c>
      <x:c r="E223" s="16" t="n">
        <x:v>0.35</x:v>
      </x:c>
      <x:c r="F223" s="15" t="n">
        <x:f>INDEX('Inputs'!$D$4:$D$6,MATCH(A223,'Inputs'!$A$4:$A$6,0))</x:f>
        <x:v>189</x:v>
      </x:c>
      <x:c r="G223" s="15" t="n">
        <x:f>INDEX('Inputs'!$E$4:$E$6,MATCH(A223,'Inputs'!$A$4:$A$6,0))</x:f>
        <x:v>85</x:v>
      </x:c>
      <x:c r="H223" s="15" t="n">
        <x:f>D223*(1-E223)</x:f>
        <x:v>291.85</x:v>
      </x:c>
      <x:c r="I223" s="15" t="n">
        <x:f>F223+G223</x:f>
        <x:v>274</x:v>
      </x:c>
      <x:c r="J223" s="15" t="n">
        <x:f>H223-I223</x:f>
        <x:v>17.850000000000023</x:v>
      </x:c>
      <x:c r="K223" s="16" t="n">
        <x:f>IFERROR(J223/H223,0)</x:f>
        <x:v>0.06116155559362694</x:v>
      </x:c>
      <x:c r="L223" s="14" t="str">
        <x:f>IF(J223&gt;0,"Provisional positive contribution","Not viable")</x:f>
        <x:v>Provisional positive contribution</x:v>
      </x:c>
    </x:row>
    <x:row r="224">
      <x:c r="A224" s="14" t="str">
        <x:v>300gsm Oversized Cotton</x:v>
      </x:c>
      <x:c r="B224" s="14" t="n">
        <x:v>100</x:v>
      </x:c>
      <x:c r="C224" s="15" t="n">
        <x:v>649</x:v>
      </x:c>
      <x:c r="D224" s="15" t="n">
        <x:v>499</x:v>
      </x:c>
      <x:c r="E224" s="16" t="n">
        <x:v>0.2</x:v>
      </x:c>
      <x:c r="F224" s="15" t="n">
        <x:f>INDEX('Inputs'!$D$4:$D$6,MATCH(A224,'Inputs'!$A$4:$A$6,0))</x:f>
        <x:v>189</x:v>
      </x:c>
      <x:c r="G224" s="15" t="n">
        <x:f>INDEX('Inputs'!$E$4:$E$6,MATCH(A224,'Inputs'!$A$4:$A$6,0))</x:f>
        <x:v>85</x:v>
      </x:c>
      <x:c r="H224" s="15" t="n">
        <x:f>D224*(1-E224)</x:f>
        <x:v>399.20000000000005</x:v>
      </x:c>
      <x:c r="I224" s="15" t="n">
        <x:f>F224+G224</x:f>
        <x:v>274</x:v>
      </x:c>
      <x:c r="J224" s="15" t="n">
        <x:f>H224-I224</x:f>
        <x:v>125.20000000000005</x:v>
      </x:c>
      <x:c r="K224" s="16" t="n">
        <x:f>IFERROR(J224/H224,0)</x:f>
        <x:v>0.3136272545090181</x:v>
      </x:c>
      <x:c r="L224" s="14" t="str">
        <x:f>IF(J224&gt;0,"Provisional positive contribution","Not viable")</x:f>
        <x:v>Provisional positive contribution</x:v>
      </x:c>
    </x:row>
    <x:row r="225">
      <x:c r="A225" s="14" t="str">
        <x:v>300gsm Oversized Cotton</x:v>
      </x:c>
      <x:c r="B225" s="14" t="n">
        <x:v>100</x:v>
      </x:c>
      <x:c r="C225" s="15" t="n">
        <x:v>649</x:v>
      </x:c>
      <x:c r="D225" s="15" t="n">
        <x:v>499</x:v>
      </x:c>
      <x:c r="E225" s="16" t="n">
        <x:v>0.25</x:v>
      </x:c>
      <x:c r="F225" s="15" t="n">
        <x:f>INDEX('Inputs'!$D$4:$D$6,MATCH(A225,'Inputs'!$A$4:$A$6,0))</x:f>
        <x:v>189</x:v>
      </x:c>
      <x:c r="G225" s="15" t="n">
        <x:f>INDEX('Inputs'!$E$4:$E$6,MATCH(A225,'Inputs'!$A$4:$A$6,0))</x:f>
        <x:v>85</x:v>
      </x:c>
      <x:c r="H225" s="15" t="n">
        <x:f>D225*(1-E225)</x:f>
        <x:v>374.25</x:v>
      </x:c>
      <x:c r="I225" s="15" t="n">
        <x:f>F225+G225</x:f>
        <x:v>274</x:v>
      </x:c>
      <x:c r="J225" s="15" t="n">
        <x:f>H225-I225</x:f>
        <x:v>100.25</x:v>
      </x:c>
      <x:c r="K225" s="16" t="n">
        <x:f>IFERROR(J225/H225,0)</x:f>
        <x:v>0.2678690714762859</x:v>
      </x:c>
      <x:c r="L225" s="14" t="str">
        <x:f>IF(J225&gt;0,"Provisional positive contribution","Not viable")</x:f>
        <x:v>Provisional positive contribution</x:v>
      </x:c>
    </x:row>
    <x:row r="226">
      <x:c r="A226" s="14" t="str">
        <x:v>300gsm Oversized Cotton</x:v>
      </x:c>
      <x:c r="B226" s="14" t="n">
        <x:v>100</x:v>
      </x:c>
      <x:c r="C226" s="15" t="n">
        <x:v>649</x:v>
      </x:c>
      <x:c r="D226" s="15" t="n">
        <x:v>499</x:v>
      </x:c>
      <x:c r="E226" s="16" t="n">
        <x:v>0.3</x:v>
      </x:c>
      <x:c r="F226" s="15" t="n">
        <x:f>INDEX('Inputs'!$D$4:$D$6,MATCH(A226,'Inputs'!$A$4:$A$6,0))</x:f>
        <x:v>189</x:v>
      </x:c>
      <x:c r="G226" s="15" t="n">
        <x:f>INDEX('Inputs'!$E$4:$E$6,MATCH(A226,'Inputs'!$A$4:$A$6,0))</x:f>
        <x:v>85</x:v>
      </x:c>
      <x:c r="H226" s="15" t="n">
        <x:f>D226*(1-E226)</x:f>
        <x:v>349.29999999999995</x:v>
      </x:c>
      <x:c r="I226" s="15" t="n">
        <x:f>F226+G226</x:f>
        <x:v>274</x:v>
      </x:c>
      <x:c r="J226" s="15" t="n">
        <x:f>H226-I226</x:f>
        <x:v>75.29999999999995</x:v>
      </x:c>
      <x:c r="K226" s="16" t="n">
        <x:f>IFERROR(J226/H226,0)</x:f>
        <x:v>0.21557400515316336</x:v>
      </x:c>
      <x:c r="L226" s="14" t="str">
        <x:f>IF(J226&gt;0,"Provisional positive contribution","Not viable")</x:f>
        <x:v>Provisional positive contribution</x:v>
      </x:c>
    </x:row>
    <x:row r="227">
      <x:c r="A227" s="14" t="str">
        <x:v>300gsm Oversized Cotton</x:v>
      </x:c>
      <x:c r="B227" s="14" t="n">
        <x:v>100</x:v>
      </x:c>
      <x:c r="C227" s="15" t="n">
        <x:v>649</x:v>
      </x:c>
      <x:c r="D227" s="15" t="n">
        <x:v>499</x:v>
      </x:c>
      <x:c r="E227" s="16" t="n">
        <x:v>0.35</x:v>
      </x:c>
      <x:c r="F227" s="15" t="n">
        <x:f>INDEX('Inputs'!$D$4:$D$6,MATCH(A227,'Inputs'!$A$4:$A$6,0))</x:f>
        <x:v>189</x:v>
      </x:c>
      <x:c r="G227" s="15" t="n">
        <x:f>INDEX('Inputs'!$E$4:$E$6,MATCH(A227,'Inputs'!$A$4:$A$6,0))</x:f>
        <x:v>85</x:v>
      </x:c>
      <x:c r="H227" s="15" t="n">
        <x:f>D227*(1-E227)</x:f>
        <x:v>324.35</x:v>
      </x:c>
      <x:c r="I227" s="15" t="n">
        <x:f>F227+G227</x:f>
        <x:v>274</x:v>
      </x:c>
      <x:c r="J227" s="15" t="n">
        <x:f>H227-I227</x:f>
        <x:v>50.35000000000002</x:v>
      </x:c>
      <x:c r="K227" s="16" t="n">
        <x:f>IFERROR(J227/H227,0)</x:f>
        <x:v>0.15523354401109918</x:v>
      </x:c>
      <x:c r="L227" s="14" t="str">
        <x:f>IF(J227&gt;0,"Provisional positive contribution","Not viable")</x:f>
        <x:v>Provisional positive contribution</x:v>
      </x:c>
    </x:row>
    <x:row r="228">
      <x:c r="A228" s="14" t="str">
        <x:v>300gsm Oversized Cotton</x:v>
      </x:c>
      <x:c r="B228" s="14" t="n">
        <x:v>100</x:v>
      </x:c>
      <x:c r="C228" s="15" t="n">
        <x:v>699</x:v>
      </x:c>
      <x:c r="D228" s="15" t="n">
        <x:v>349</x:v>
      </x:c>
      <x:c r="E228" s="16" t="n">
        <x:v>0.2</x:v>
      </x:c>
      <x:c r="F228" s="15" t="n">
        <x:f>INDEX('Inputs'!$D$4:$D$6,MATCH(A228,'Inputs'!$A$4:$A$6,0))</x:f>
        <x:v>189</x:v>
      </x:c>
      <x:c r="G228" s="15" t="n">
        <x:f>INDEX('Inputs'!$E$4:$E$6,MATCH(A228,'Inputs'!$A$4:$A$6,0))</x:f>
        <x:v>85</x:v>
      </x:c>
      <x:c r="H228" s="15" t="n">
        <x:f>D228*(1-E228)</x:f>
        <x:v>279.2</x:v>
      </x:c>
      <x:c r="I228" s="15" t="n">
        <x:f>F228+G228</x:f>
        <x:v>274</x:v>
      </x:c>
      <x:c r="J228" s="15" t="n">
        <x:f>H228-I228</x:f>
        <x:v>5.199999999999989</x:v>
      </x:c>
      <x:c r="K228" s="16" t="n">
        <x:f>IFERROR(J228/H228,0)</x:f>
        <x:v>0.018624641833810848</x:v>
      </x:c>
      <x:c r="L228" s="14" t="str">
        <x:f>IF(J228&gt;0,"Provisional positive contribution","Not viable")</x:f>
        <x:v>Provisional positive contribution</x:v>
      </x:c>
    </x:row>
    <x:row r="229">
      <x:c r="A229" s="14" t="str">
        <x:v>300gsm Oversized Cotton</x:v>
      </x:c>
      <x:c r="B229" s="14" t="n">
        <x:v>100</x:v>
      </x:c>
      <x:c r="C229" s="15" t="n">
        <x:v>699</x:v>
      </x:c>
      <x:c r="D229" s="15" t="n">
        <x:v>349</x:v>
      </x:c>
      <x:c r="E229" s="16" t="n">
        <x:v>0.25</x:v>
      </x:c>
      <x:c r="F229" s="15" t="n">
        <x:f>INDEX('Inputs'!$D$4:$D$6,MATCH(A229,'Inputs'!$A$4:$A$6,0))</x:f>
        <x:v>189</x:v>
      </x:c>
      <x:c r="G229" s="15" t="n">
        <x:f>INDEX('Inputs'!$E$4:$E$6,MATCH(A229,'Inputs'!$A$4:$A$6,0))</x:f>
        <x:v>85</x:v>
      </x:c>
      <x:c r="H229" s="15" t="n">
        <x:f>D229*(1-E229)</x:f>
        <x:v>261.75</x:v>
      </x:c>
      <x:c r="I229" s="15" t="n">
        <x:f>F229+G229</x:f>
        <x:v>274</x:v>
      </x:c>
      <x:c r="J229" s="15" t="n">
        <x:f>H229-I229</x:f>
        <x:v>-12.25</x:v>
      </x:c>
      <x:c r="K229" s="16" t="n">
        <x:f>IFERROR(J229/H229,0)</x:f>
        <x:v>-0.04680038204393505</x:v>
      </x:c>
      <x:c r="L229" s="14" t="str">
        <x:f>IF(J229&gt;0,"Provisional positive contribution","Not viable")</x:f>
        <x:v>Not viable</x:v>
      </x:c>
    </x:row>
    <x:row r="230">
      <x:c r="A230" s="14" t="str">
        <x:v>300gsm Oversized Cotton</x:v>
      </x:c>
      <x:c r="B230" s="14" t="n">
        <x:v>100</x:v>
      </x:c>
      <x:c r="C230" s="15" t="n">
        <x:v>699</x:v>
      </x:c>
      <x:c r="D230" s="15" t="n">
        <x:v>349</x:v>
      </x:c>
      <x:c r="E230" s="16" t="n">
        <x:v>0.3</x:v>
      </x:c>
      <x:c r="F230" s="15" t="n">
        <x:f>INDEX('Inputs'!$D$4:$D$6,MATCH(A230,'Inputs'!$A$4:$A$6,0))</x:f>
        <x:v>189</x:v>
      </x:c>
      <x:c r="G230" s="15" t="n">
        <x:f>INDEX('Inputs'!$E$4:$E$6,MATCH(A230,'Inputs'!$A$4:$A$6,0))</x:f>
        <x:v>85</x:v>
      </x:c>
      <x:c r="H230" s="15" t="n">
        <x:f>D230*(1-E230)</x:f>
        <x:v>244.29999999999998</x:v>
      </x:c>
      <x:c r="I230" s="15" t="n">
        <x:f>F230+G230</x:f>
        <x:v>274</x:v>
      </x:c>
      <x:c r="J230" s="15" t="n">
        <x:f>H230-I230</x:f>
        <x:v>-29.700000000000017</x:v>
      </x:c>
      <x:c r="K230" s="16" t="n">
        <x:f>IFERROR(J230/H230,0)</x:f>
        <x:v>-0.1215718379042162</x:v>
      </x:c>
      <x:c r="L230" s="14" t="str">
        <x:f>IF(J230&gt;0,"Provisional positive contribution","Not viable")</x:f>
        <x:v>Not viable</x:v>
      </x:c>
    </x:row>
    <x:row r="231">
      <x:c r="A231" s="14" t="str">
        <x:v>300gsm Oversized Cotton</x:v>
      </x:c>
      <x:c r="B231" s="14" t="n">
        <x:v>100</x:v>
      </x:c>
      <x:c r="C231" s="15" t="n">
        <x:v>699</x:v>
      </x:c>
      <x:c r="D231" s="15" t="n">
        <x:v>349</x:v>
      </x:c>
      <x:c r="E231" s="16" t="n">
        <x:v>0.35</x:v>
      </x:c>
      <x:c r="F231" s="15" t="n">
        <x:f>INDEX('Inputs'!$D$4:$D$6,MATCH(A231,'Inputs'!$A$4:$A$6,0))</x:f>
        <x:v>189</x:v>
      </x:c>
      <x:c r="G231" s="15" t="n">
        <x:f>INDEX('Inputs'!$E$4:$E$6,MATCH(A231,'Inputs'!$A$4:$A$6,0))</x:f>
        <x:v>85</x:v>
      </x:c>
      <x:c r="H231" s="15" t="n">
        <x:f>D231*(1-E231)</x:f>
        <x:v>226.85</x:v>
      </x:c>
      <x:c r="I231" s="15" t="n">
        <x:f>F231+G231</x:f>
        <x:v>274</x:v>
      </x:c>
      <x:c r="J231" s="15" t="n">
        <x:f>H231-I231</x:f>
        <x:v>-47.150000000000006</x:v>
      </x:c>
      <x:c r="K231" s="16" t="n">
        <x:f>IFERROR(J231/H231,0)</x:f>
        <x:v>-0.20784659466607894</x:v>
      </x:c>
      <x:c r="L231" s="14" t="str">
        <x:f>IF(J231&gt;0,"Provisional positive contribution","Not viable")</x:f>
        <x:v>Not viable</x:v>
      </x:c>
    </x:row>
    <x:row r="232">
      <x:c r="A232" s="14" t="str">
        <x:v>300gsm Oversized Cotton</x:v>
      </x:c>
      <x:c r="B232" s="14" t="n">
        <x:v>100</x:v>
      </x:c>
      <x:c r="C232" s="15" t="n">
        <x:v>699</x:v>
      </x:c>
      <x:c r="D232" s="15" t="n">
        <x:v>399</x:v>
      </x:c>
      <x:c r="E232" s="16" t="n">
        <x:v>0.2</x:v>
      </x:c>
      <x:c r="F232" s="15" t="n">
        <x:f>INDEX('Inputs'!$D$4:$D$6,MATCH(A232,'Inputs'!$A$4:$A$6,0))</x:f>
        <x:v>189</x:v>
      </x:c>
      <x:c r="G232" s="15" t="n">
        <x:f>INDEX('Inputs'!$E$4:$E$6,MATCH(A232,'Inputs'!$A$4:$A$6,0))</x:f>
        <x:v>85</x:v>
      </x:c>
      <x:c r="H232" s="15" t="n">
        <x:f>D232*(1-E232)</x:f>
        <x:v>319.20000000000005</x:v>
      </x:c>
      <x:c r="I232" s="15" t="n">
        <x:f>F232+G232</x:f>
        <x:v>274</x:v>
      </x:c>
      <x:c r="J232" s="15" t="n">
        <x:f>H232-I232</x:f>
        <x:v>45.200000000000045</x:v>
      </x:c>
      <x:c r="K232" s="16" t="n">
        <x:f>IFERROR(J232/H232,0)</x:f>
        <x:v>0.1416040100250628</x:v>
      </x:c>
      <x:c r="L232" s="14" t="str">
        <x:f>IF(J232&gt;0,"Provisional positive contribution","Not viable")</x:f>
        <x:v>Provisional positive contribution</x:v>
      </x:c>
    </x:row>
    <x:row r="233">
      <x:c r="A233" s="14" t="str">
        <x:v>300gsm Oversized Cotton</x:v>
      </x:c>
      <x:c r="B233" s="14" t="n">
        <x:v>100</x:v>
      </x:c>
      <x:c r="C233" s="15" t="n">
        <x:v>699</x:v>
      </x:c>
      <x:c r="D233" s="15" t="n">
        <x:v>399</x:v>
      </x:c>
      <x:c r="E233" s="16" t="n">
        <x:v>0.25</x:v>
      </x:c>
      <x:c r="F233" s="15" t="n">
        <x:f>INDEX('Inputs'!$D$4:$D$6,MATCH(A233,'Inputs'!$A$4:$A$6,0))</x:f>
        <x:v>189</x:v>
      </x:c>
      <x:c r="G233" s="15" t="n">
        <x:f>INDEX('Inputs'!$E$4:$E$6,MATCH(A233,'Inputs'!$A$4:$A$6,0))</x:f>
        <x:v>85</x:v>
      </x:c>
      <x:c r="H233" s="15" t="n">
        <x:f>D233*(1-E233)</x:f>
        <x:v>299.25</x:v>
      </x:c>
      <x:c r="I233" s="15" t="n">
        <x:f>F233+G233</x:f>
        <x:v>274</x:v>
      </x:c>
      <x:c r="J233" s="15" t="n">
        <x:f>H233-I233</x:f>
        <x:v>25.25</x:v>
      </x:c>
      <x:c r="K233" s="16" t="n">
        <x:f>IFERROR(J233/H233,0)</x:f>
        <x:v>0.08437761069340016</x:v>
      </x:c>
      <x:c r="L233" s="14" t="str">
        <x:f>IF(J233&gt;0,"Provisional positive contribution","Not viable")</x:f>
        <x:v>Provisional positive contribution</x:v>
      </x:c>
    </x:row>
    <x:row r="234">
      <x:c r="A234" s="14" t="str">
        <x:v>300gsm Oversized Cotton</x:v>
      </x:c>
      <x:c r="B234" s="14" t="n">
        <x:v>100</x:v>
      </x:c>
      <x:c r="C234" s="15" t="n">
        <x:v>699</x:v>
      </x:c>
      <x:c r="D234" s="15" t="n">
        <x:v>399</x:v>
      </x:c>
      <x:c r="E234" s="16" t="n">
        <x:v>0.3</x:v>
      </x:c>
      <x:c r="F234" s="15" t="n">
        <x:f>INDEX('Inputs'!$D$4:$D$6,MATCH(A234,'Inputs'!$A$4:$A$6,0))</x:f>
        <x:v>189</x:v>
      </x:c>
      <x:c r="G234" s="15" t="n">
        <x:f>INDEX('Inputs'!$E$4:$E$6,MATCH(A234,'Inputs'!$A$4:$A$6,0))</x:f>
        <x:v>85</x:v>
      </x:c>
      <x:c r="H234" s="15" t="n">
        <x:f>D234*(1-E234)</x:f>
        <x:v>279.29999999999995</x:v>
      </x:c>
      <x:c r="I234" s="15" t="n">
        <x:f>F234+G234</x:f>
        <x:v>274</x:v>
      </x:c>
      <x:c r="J234" s="15" t="n">
        <x:f>H234-I234</x:f>
        <x:v>5.2999999999999545</x:v>
      </x:c>
      <x:c r="K234" s="16" t="n">
        <x:f>IFERROR(J234/H234,0)</x:f>
        <x:v>0.018976011457214306</x:v>
      </x:c>
      <x:c r="L234" s="14" t="str">
        <x:f>IF(J234&gt;0,"Provisional positive contribution","Not viable")</x:f>
        <x:v>Provisional positive contribution</x:v>
      </x:c>
    </x:row>
    <x:row r="235">
      <x:c r="A235" s="14" t="str">
        <x:v>300gsm Oversized Cotton</x:v>
      </x:c>
      <x:c r="B235" s="14" t="n">
        <x:v>100</x:v>
      </x:c>
      <x:c r="C235" s="15" t="n">
        <x:v>699</x:v>
      </x:c>
      <x:c r="D235" s="15" t="n">
        <x:v>399</x:v>
      </x:c>
      <x:c r="E235" s="16" t="n">
        <x:v>0.35</x:v>
      </x:c>
      <x:c r="F235" s="15" t="n">
        <x:f>INDEX('Inputs'!$D$4:$D$6,MATCH(A235,'Inputs'!$A$4:$A$6,0))</x:f>
        <x:v>189</x:v>
      </x:c>
      <x:c r="G235" s="15" t="n">
        <x:f>INDEX('Inputs'!$E$4:$E$6,MATCH(A235,'Inputs'!$A$4:$A$6,0))</x:f>
        <x:v>85</x:v>
      </x:c>
      <x:c r="H235" s="15" t="n">
        <x:f>D235*(1-E235)</x:f>
        <x:v>259.35</x:v>
      </x:c>
      <x:c r="I235" s="15" t="n">
        <x:f>F235+G235</x:f>
        <x:v>274</x:v>
      </x:c>
      <x:c r="J235" s="15" t="n">
        <x:f>H235-I235</x:f>
        <x:v>-14.649999999999977</x:v>
      </x:c>
      <x:c r="K235" s="16" t="n">
        <x:f>IFERROR(J235/H235,0)</x:f>
        <x:v>-0.05648737227684587</x:v>
      </x:c>
      <x:c r="L235" s="14" t="str">
        <x:f>IF(J235&gt;0,"Provisional positive contribution","Not viable")</x:f>
        <x:v>Not viable</x:v>
      </x:c>
    </x:row>
    <x:row r="236">
      <x:c r="A236" s="14" t="str">
        <x:v>300gsm Oversized Cotton</x:v>
      </x:c>
      <x:c r="B236" s="14" t="n">
        <x:v>100</x:v>
      </x:c>
      <x:c r="C236" s="15" t="n">
        <x:v>699</x:v>
      </x:c>
      <x:c r="D236" s="15" t="n">
        <x:v>449</x:v>
      </x:c>
      <x:c r="E236" s="16" t="n">
        <x:v>0.2</x:v>
      </x:c>
      <x:c r="F236" s="15" t="n">
        <x:f>INDEX('Inputs'!$D$4:$D$6,MATCH(A236,'Inputs'!$A$4:$A$6,0))</x:f>
        <x:v>189</x:v>
      </x:c>
      <x:c r="G236" s="15" t="n">
        <x:f>INDEX('Inputs'!$E$4:$E$6,MATCH(A236,'Inputs'!$A$4:$A$6,0))</x:f>
        <x:v>85</x:v>
      </x:c>
      <x:c r="H236" s="15" t="n">
        <x:f>D236*(1-E236)</x:f>
        <x:v>359.20000000000005</x:v>
      </x:c>
      <x:c r="I236" s="15" t="n">
        <x:f>F236+G236</x:f>
        <x:v>274</x:v>
      </x:c>
      <x:c r="J236" s="15" t="n">
        <x:f>H236-I236</x:f>
        <x:v>85.20000000000005</x:v>
      </x:c>
      <x:c r="K236" s="16" t="n">
        <x:f>IFERROR(J236/H236,0)</x:f>
        <x:v>0.23719376391982191</x:v>
      </x:c>
      <x:c r="L236" s="14" t="str">
        <x:f>IF(J236&gt;0,"Provisional positive contribution","Not viable")</x:f>
        <x:v>Provisional positive contribution</x:v>
      </x:c>
    </x:row>
    <x:row r="237">
      <x:c r="A237" s="14" t="str">
        <x:v>300gsm Oversized Cotton</x:v>
      </x:c>
      <x:c r="B237" s="14" t="n">
        <x:v>100</x:v>
      </x:c>
      <x:c r="C237" s="15" t="n">
        <x:v>699</x:v>
      </x:c>
      <x:c r="D237" s="15" t="n">
        <x:v>449</x:v>
      </x:c>
      <x:c r="E237" s="16" t="n">
        <x:v>0.25</x:v>
      </x:c>
      <x:c r="F237" s="15" t="n">
        <x:f>INDEX('Inputs'!$D$4:$D$6,MATCH(A237,'Inputs'!$A$4:$A$6,0))</x:f>
        <x:v>189</x:v>
      </x:c>
      <x:c r="G237" s="15" t="n">
        <x:f>INDEX('Inputs'!$E$4:$E$6,MATCH(A237,'Inputs'!$A$4:$A$6,0))</x:f>
        <x:v>85</x:v>
      </x:c>
      <x:c r="H237" s="15" t="n">
        <x:f>D237*(1-E237)</x:f>
        <x:v>336.75</x:v>
      </x:c>
      <x:c r="I237" s="15" t="n">
        <x:f>F237+G237</x:f>
        <x:v>274</x:v>
      </x:c>
      <x:c r="J237" s="15" t="n">
        <x:f>H237-I237</x:f>
        <x:v>62.75</x:v>
      </x:c>
      <x:c r="K237" s="16" t="n">
        <x:f>IFERROR(J237/H237,0)</x:f>
        <x:v>0.18634001484780996</x:v>
      </x:c>
      <x:c r="L237" s="14" t="str">
        <x:f>IF(J237&gt;0,"Provisional positive contribution","Not viable")</x:f>
        <x:v>Provisional positive contribution</x:v>
      </x:c>
    </x:row>
    <x:row r="238">
      <x:c r="A238" s="14" t="str">
        <x:v>300gsm Oversized Cotton</x:v>
      </x:c>
      <x:c r="B238" s="14" t="n">
        <x:v>100</x:v>
      </x:c>
      <x:c r="C238" s="15" t="n">
        <x:v>699</x:v>
      </x:c>
      <x:c r="D238" s="15" t="n">
        <x:v>449</x:v>
      </x:c>
      <x:c r="E238" s="16" t="n">
        <x:v>0.3</x:v>
      </x:c>
      <x:c r="F238" s="15" t="n">
        <x:f>INDEX('Inputs'!$D$4:$D$6,MATCH(A238,'Inputs'!$A$4:$A$6,0))</x:f>
        <x:v>189</x:v>
      </x:c>
      <x:c r="G238" s="15" t="n">
        <x:f>INDEX('Inputs'!$E$4:$E$6,MATCH(A238,'Inputs'!$A$4:$A$6,0))</x:f>
        <x:v>85</x:v>
      </x:c>
      <x:c r="H238" s="15" t="n">
        <x:f>D238*(1-E238)</x:f>
        <x:v>314.29999999999995</x:v>
      </x:c>
      <x:c r="I238" s="15" t="n">
        <x:f>F238+G238</x:f>
        <x:v>274</x:v>
      </x:c>
      <x:c r="J238" s="15" t="n">
        <x:f>H238-I238</x:f>
        <x:v>40.299999999999955</x:v>
      </x:c>
      <x:c r="K238" s="16" t="n">
        <x:f>IFERROR(J238/H238,0)</x:f>
        <x:v>0.12822144447979625</x:v>
      </x:c>
      <x:c r="L238" s="14" t="str">
        <x:f>IF(J238&gt;0,"Provisional positive contribution","Not viable")</x:f>
        <x:v>Provisional positive contribution</x:v>
      </x:c>
    </x:row>
    <x:row r="239">
      <x:c r="A239" s="14" t="str">
        <x:v>300gsm Oversized Cotton</x:v>
      </x:c>
      <x:c r="B239" s="14" t="n">
        <x:v>100</x:v>
      </x:c>
      <x:c r="C239" s="15" t="n">
        <x:v>699</x:v>
      </x:c>
      <x:c r="D239" s="15" t="n">
        <x:v>449</x:v>
      </x:c>
      <x:c r="E239" s="16" t="n">
        <x:v>0.35</x:v>
      </x:c>
      <x:c r="F239" s="15" t="n">
        <x:f>INDEX('Inputs'!$D$4:$D$6,MATCH(A239,'Inputs'!$A$4:$A$6,0))</x:f>
        <x:v>189</x:v>
      </x:c>
      <x:c r="G239" s="15" t="n">
        <x:f>INDEX('Inputs'!$E$4:$E$6,MATCH(A239,'Inputs'!$A$4:$A$6,0))</x:f>
        <x:v>85</x:v>
      </x:c>
      <x:c r="H239" s="15" t="n">
        <x:f>D239*(1-E239)</x:f>
        <x:v>291.85</x:v>
      </x:c>
      <x:c r="I239" s="15" t="n">
        <x:f>F239+G239</x:f>
        <x:v>274</x:v>
      </x:c>
      <x:c r="J239" s="15" t="n">
        <x:f>H239-I239</x:f>
        <x:v>17.850000000000023</x:v>
      </x:c>
      <x:c r="K239" s="16" t="n">
        <x:f>IFERROR(J239/H239,0)</x:f>
        <x:v>0.06116155559362694</x:v>
      </x:c>
      <x:c r="L239" s="14" t="str">
        <x:f>IF(J239&gt;0,"Provisional positive contribution","Not viable")</x:f>
        <x:v>Provisional positive contribution</x:v>
      </x:c>
    </x:row>
    <x:row r="240">
      <x:c r="A240" s="14" t="str">
        <x:v>300gsm Oversized Cotton</x:v>
      </x:c>
      <x:c r="B240" s="14" t="n">
        <x:v>100</x:v>
      </x:c>
      <x:c r="C240" s="15" t="n">
        <x:v>699</x:v>
      </x:c>
      <x:c r="D240" s="15" t="n">
        <x:v>499</x:v>
      </x:c>
      <x:c r="E240" s="16" t="n">
        <x:v>0.2</x:v>
      </x:c>
      <x:c r="F240" s="15" t="n">
        <x:f>INDEX('Inputs'!$D$4:$D$6,MATCH(A240,'Inputs'!$A$4:$A$6,0))</x:f>
        <x:v>189</x:v>
      </x:c>
      <x:c r="G240" s="15" t="n">
        <x:f>INDEX('Inputs'!$E$4:$E$6,MATCH(A240,'Inputs'!$A$4:$A$6,0))</x:f>
        <x:v>85</x:v>
      </x:c>
      <x:c r="H240" s="15" t="n">
        <x:f>D240*(1-E240)</x:f>
        <x:v>399.20000000000005</x:v>
      </x:c>
      <x:c r="I240" s="15" t="n">
        <x:f>F240+G240</x:f>
        <x:v>274</x:v>
      </x:c>
      <x:c r="J240" s="15" t="n">
        <x:f>H240-I240</x:f>
        <x:v>125.20000000000005</x:v>
      </x:c>
      <x:c r="K240" s="16" t="n">
        <x:f>IFERROR(J240/H240,0)</x:f>
        <x:v>0.3136272545090181</x:v>
      </x:c>
      <x:c r="L240" s="14" t="str">
        <x:f>IF(J240&gt;0,"Provisional positive contribution","Not viable")</x:f>
        <x:v>Provisional positive contribution</x:v>
      </x:c>
    </x:row>
    <x:row r="241">
      <x:c r="A241" s="14" t="str">
        <x:v>300gsm Oversized Cotton</x:v>
      </x:c>
      <x:c r="B241" s="14" t="n">
        <x:v>100</x:v>
      </x:c>
      <x:c r="C241" s="15" t="n">
        <x:v>699</x:v>
      </x:c>
      <x:c r="D241" s="15" t="n">
        <x:v>499</x:v>
      </x:c>
      <x:c r="E241" s="16" t="n">
        <x:v>0.25</x:v>
      </x:c>
      <x:c r="F241" s="15" t="n">
        <x:f>INDEX('Inputs'!$D$4:$D$6,MATCH(A241,'Inputs'!$A$4:$A$6,0))</x:f>
        <x:v>189</x:v>
      </x:c>
      <x:c r="G241" s="15" t="n">
        <x:f>INDEX('Inputs'!$E$4:$E$6,MATCH(A241,'Inputs'!$A$4:$A$6,0))</x:f>
        <x:v>85</x:v>
      </x:c>
      <x:c r="H241" s="15" t="n">
        <x:f>D241*(1-E241)</x:f>
        <x:v>374.25</x:v>
      </x:c>
      <x:c r="I241" s="15" t="n">
        <x:f>F241+G241</x:f>
        <x:v>274</x:v>
      </x:c>
      <x:c r="J241" s="15" t="n">
        <x:f>H241-I241</x:f>
        <x:v>100.25</x:v>
      </x:c>
      <x:c r="K241" s="16" t="n">
        <x:f>IFERROR(J241/H241,0)</x:f>
        <x:v>0.2678690714762859</x:v>
      </x:c>
      <x:c r="L241" s="14" t="str">
        <x:f>IF(J241&gt;0,"Provisional positive contribution","Not viable")</x:f>
        <x:v>Provisional positive contribution</x:v>
      </x:c>
    </x:row>
    <x:row r="242">
      <x:c r="A242" s="14" t="str">
        <x:v>300gsm Oversized Cotton</x:v>
      </x:c>
      <x:c r="B242" s="14" t="n">
        <x:v>100</x:v>
      </x:c>
      <x:c r="C242" s="15" t="n">
        <x:v>699</x:v>
      </x:c>
      <x:c r="D242" s="15" t="n">
        <x:v>499</x:v>
      </x:c>
      <x:c r="E242" s="16" t="n">
        <x:v>0.3</x:v>
      </x:c>
      <x:c r="F242" s="15" t="n">
        <x:f>INDEX('Inputs'!$D$4:$D$6,MATCH(A242,'Inputs'!$A$4:$A$6,0))</x:f>
        <x:v>189</x:v>
      </x:c>
      <x:c r="G242" s="15" t="n">
        <x:f>INDEX('Inputs'!$E$4:$E$6,MATCH(A242,'Inputs'!$A$4:$A$6,0))</x:f>
        <x:v>85</x:v>
      </x:c>
      <x:c r="H242" s="15" t="n">
        <x:f>D242*(1-E242)</x:f>
        <x:v>349.29999999999995</x:v>
      </x:c>
      <x:c r="I242" s="15" t="n">
        <x:f>F242+G242</x:f>
        <x:v>274</x:v>
      </x:c>
      <x:c r="J242" s="15" t="n">
        <x:f>H242-I242</x:f>
        <x:v>75.29999999999995</x:v>
      </x:c>
      <x:c r="K242" s="16" t="n">
        <x:f>IFERROR(J242/H242,0)</x:f>
        <x:v>0.21557400515316336</x:v>
      </x:c>
      <x:c r="L242" s="14" t="str">
        <x:f>IF(J242&gt;0,"Provisional positive contribution","Not viable")</x:f>
        <x:v>Provisional positive contribution</x:v>
      </x:c>
    </x:row>
    <x:row r="243">
      <x:c r="A243" s="14" t="str">
        <x:v>300gsm Oversized Cotton</x:v>
      </x:c>
      <x:c r="B243" s="14" t="n">
        <x:v>100</x:v>
      </x:c>
      <x:c r="C243" s="15" t="n">
        <x:v>699</x:v>
      </x:c>
      <x:c r="D243" s="15" t="n">
        <x:v>499</x:v>
      </x:c>
      <x:c r="E243" s="16" t="n">
        <x:v>0.35</x:v>
      </x:c>
      <x:c r="F243" s="15" t="n">
        <x:f>INDEX('Inputs'!$D$4:$D$6,MATCH(A243,'Inputs'!$A$4:$A$6,0))</x:f>
        <x:v>189</x:v>
      </x:c>
      <x:c r="G243" s="15" t="n">
        <x:f>INDEX('Inputs'!$E$4:$E$6,MATCH(A243,'Inputs'!$A$4:$A$6,0))</x:f>
        <x:v>85</x:v>
      </x:c>
      <x:c r="H243" s="15" t="n">
        <x:f>D243*(1-E243)</x:f>
        <x:v>324.35</x:v>
      </x:c>
      <x:c r="I243" s="15" t="n">
        <x:f>F243+G243</x:f>
        <x:v>274</x:v>
      </x:c>
      <x:c r="J243" s="15" t="n">
        <x:f>H243-I243</x:f>
        <x:v>50.35000000000002</x:v>
      </x:c>
      <x:c r="K243" s="16" t="n">
        <x:f>IFERROR(J243/H243,0)</x:f>
        <x:v>0.15523354401109918</x:v>
      </x:c>
      <x:c r="L243" s="14" t="str">
        <x:f>IF(J243&gt;0,"Provisional positive contribution","Not viable")</x:f>
        <x:v>Provisional positive contribution</x:v>
      </x:c>
    </x:row>
    <x:row r="244">
      <x:c r="A244" s="14" t="str">
        <x:v>300gsm Oversized Cotton</x:v>
      </x:c>
      <x:c r="B244" s="14" t="n">
        <x:v>100</x:v>
      </x:c>
      <x:c r="C244" s="15" t="n">
        <x:v>749</x:v>
      </x:c>
      <x:c r="D244" s="15" t="n">
        <x:v>349</x:v>
      </x:c>
      <x:c r="E244" s="16" t="n">
        <x:v>0.2</x:v>
      </x:c>
      <x:c r="F244" s="15" t="n">
        <x:f>INDEX('Inputs'!$D$4:$D$6,MATCH(A244,'Inputs'!$A$4:$A$6,0))</x:f>
        <x:v>189</x:v>
      </x:c>
      <x:c r="G244" s="15" t="n">
        <x:f>INDEX('Inputs'!$E$4:$E$6,MATCH(A244,'Inputs'!$A$4:$A$6,0))</x:f>
        <x:v>85</x:v>
      </x:c>
      <x:c r="H244" s="15" t="n">
        <x:f>D244*(1-E244)</x:f>
        <x:v>279.2</x:v>
      </x:c>
      <x:c r="I244" s="15" t="n">
        <x:f>F244+G244</x:f>
        <x:v>274</x:v>
      </x:c>
      <x:c r="J244" s="15" t="n">
        <x:f>H244-I244</x:f>
        <x:v>5.199999999999989</x:v>
      </x:c>
      <x:c r="K244" s="16" t="n">
        <x:f>IFERROR(J244/H244,0)</x:f>
        <x:v>0.018624641833810848</x:v>
      </x:c>
      <x:c r="L244" s="14" t="str">
        <x:f>IF(J244&gt;0,"Provisional positive contribution","Not viable")</x:f>
        <x:v>Provisional positive contribution</x:v>
      </x:c>
    </x:row>
    <x:row r="245">
      <x:c r="A245" s="14" t="str">
        <x:v>300gsm Oversized Cotton</x:v>
      </x:c>
      <x:c r="B245" s="14" t="n">
        <x:v>100</x:v>
      </x:c>
      <x:c r="C245" s="15" t="n">
        <x:v>749</x:v>
      </x:c>
      <x:c r="D245" s="15" t="n">
        <x:v>349</x:v>
      </x:c>
      <x:c r="E245" s="16" t="n">
        <x:v>0.25</x:v>
      </x:c>
      <x:c r="F245" s="15" t="n">
        <x:f>INDEX('Inputs'!$D$4:$D$6,MATCH(A245,'Inputs'!$A$4:$A$6,0))</x:f>
        <x:v>189</x:v>
      </x:c>
      <x:c r="G245" s="15" t="n">
        <x:f>INDEX('Inputs'!$E$4:$E$6,MATCH(A245,'Inputs'!$A$4:$A$6,0))</x:f>
        <x:v>85</x:v>
      </x:c>
      <x:c r="H245" s="15" t="n">
        <x:f>D245*(1-E245)</x:f>
        <x:v>261.75</x:v>
      </x:c>
      <x:c r="I245" s="15" t="n">
        <x:f>F245+G245</x:f>
        <x:v>274</x:v>
      </x:c>
      <x:c r="J245" s="15" t="n">
        <x:f>H245-I245</x:f>
        <x:v>-12.25</x:v>
      </x:c>
      <x:c r="K245" s="16" t="n">
        <x:f>IFERROR(J245/H245,0)</x:f>
        <x:v>-0.04680038204393505</x:v>
      </x:c>
      <x:c r="L245" s="14" t="str">
        <x:f>IF(J245&gt;0,"Provisional positive contribution","Not viable")</x:f>
        <x:v>Not viable</x:v>
      </x:c>
    </x:row>
    <x:row r="246">
      <x:c r="A246" s="14" t="str">
        <x:v>300gsm Oversized Cotton</x:v>
      </x:c>
      <x:c r="B246" s="14" t="n">
        <x:v>100</x:v>
      </x:c>
      <x:c r="C246" s="15" t="n">
        <x:v>749</x:v>
      </x:c>
      <x:c r="D246" s="15" t="n">
        <x:v>349</x:v>
      </x:c>
      <x:c r="E246" s="16" t="n">
        <x:v>0.3</x:v>
      </x:c>
      <x:c r="F246" s="15" t="n">
        <x:f>INDEX('Inputs'!$D$4:$D$6,MATCH(A246,'Inputs'!$A$4:$A$6,0))</x:f>
        <x:v>189</x:v>
      </x:c>
      <x:c r="G246" s="15" t="n">
        <x:f>INDEX('Inputs'!$E$4:$E$6,MATCH(A246,'Inputs'!$A$4:$A$6,0))</x:f>
        <x:v>85</x:v>
      </x:c>
      <x:c r="H246" s="15" t="n">
        <x:f>D246*(1-E246)</x:f>
        <x:v>244.29999999999998</x:v>
      </x:c>
      <x:c r="I246" s="15" t="n">
        <x:f>F246+G246</x:f>
        <x:v>274</x:v>
      </x:c>
      <x:c r="J246" s="15" t="n">
        <x:f>H246-I246</x:f>
        <x:v>-29.700000000000017</x:v>
      </x:c>
      <x:c r="K246" s="16" t="n">
        <x:f>IFERROR(J246/H246,0)</x:f>
        <x:v>-0.1215718379042162</x:v>
      </x:c>
      <x:c r="L246" s="14" t="str">
        <x:f>IF(J246&gt;0,"Provisional positive contribution","Not viable")</x:f>
        <x:v>Not viable</x:v>
      </x:c>
    </x:row>
    <x:row r="247">
      <x:c r="A247" s="14" t="str">
        <x:v>300gsm Oversized Cotton</x:v>
      </x:c>
      <x:c r="B247" s="14" t="n">
        <x:v>100</x:v>
      </x:c>
      <x:c r="C247" s="15" t="n">
        <x:v>749</x:v>
      </x:c>
      <x:c r="D247" s="15" t="n">
        <x:v>349</x:v>
      </x:c>
      <x:c r="E247" s="16" t="n">
        <x:v>0.35</x:v>
      </x:c>
      <x:c r="F247" s="15" t="n">
        <x:f>INDEX('Inputs'!$D$4:$D$6,MATCH(A247,'Inputs'!$A$4:$A$6,0))</x:f>
        <x:v>189</x:v>
      </x:c>
      <x:c r="G247" s="15" t="n">
        <x:f>INDEX('Inputs'!$E$4:$E$6,MATCH(A247,'Inputs'!$A$4:$A$6,0))</x:f>
        <x:v>85</x:v>
      </x:c>
      <x:c r="H247" s="15" t="n">
        <x:f>D247*(1-E247)</x:f>
        <x:v>226.85</x:v>
      </x:c>
      <x:c r="I247" s="15" t="n">
        <x:f>F247+G247</x:f>
        <x:v>274</x:v>
      </x:c>
      <x:c r="J247" s="15" t="n">
        <x:f>H247-I247</x:f>
        <x:v>-47.150000000000006</x:v>
      </x:c>
      <x:c r="K247" s="16" t="n">
        <x:f>IFERROR(J247/H247,0)</x:f>
        <x:v>-0.20784659466607894</x:v>
      </x:c>
      <x:c r="L247" s="14" t="str">
        <x:f>IF(J247&gt;0,"Provisional positive contribution","Not viable")</x:f>
        <x:v>Not viable</x:v>
      </x:c>
    </x:row>
    <x:row r="248">
      <x:c r="A248" s="14" t="str">
        <x:v>300gsm Oversized Cotton</x:v>
      </x:c>
      <x:c r="B248" s="14" t="n">
        <x:v>100</x:v>
      </x:c>
      <x:c r="C248" s="15" t="n">
        <x:v>749</x:v>
      </x:c>
      <x:c r="D248" s="15" t="n">
        <x:v>399</x:v>
      </x:c>
      <x:c r="E248" s="16" t="n">
        <x:v>0.2</x:v>
      </x:c>
      <x:c r="F248" s="15" t="n">
        <x:f>INDEX('Inputs'!$D$4:$D$6,MATCH(A248,'Inputs'!$A$4:$A$6,0))</x:f>
        <x:v>189</x:v>
      </x:c>
      <x:c r="G248" s="15" t="n">
        <x:f>INDEX('Inputs'!$E$4:$E$6,MATCH(A248,'Inputs'!$A$4:$A$6,0))</x:f>
        <x:v>85</x:v>
      </x:c>
      <x:c r="H248" s="15" t="n">
        <x:f>D248*(1-E248)</x:f>
        <x:v>319.20000000000005</x:v>
      </x:c>
      <x:c r="I248" s="15" t="n">
        <x:f>F248+G248</x:f>
        <x:v>274</x:v>
      </x:c>
      <x:c r="J248" s="15" t="n">
        <x:f>H248-I248</x:f>
        <x:v>45.200000000000045</x:v>
      </x:c>
      <x:c r="K248" s="16" t="n">
        <x:f>IFERROR(J248/H248,0)</x:f>
        <x:v>0.1416040100250628</x:v>
      </x:c>
      <x:c r="L248" s="14" t="str">
        <x:f>IF(J248&gt;0,"Provisional positive contribution","Not viable")</x:f>
        <x:v>Provisional positive contribution</x:v>
      </x:c>
    </x:row>
    <x:row r="249">
      <x:c r="A249" s="14" t="str">
        <x:v>300gsm Oversized Cotton</x:v>
      </x:c>
      <x:c r="B249" s="14" t="n">
        <x:v>100</x:v>
      </x:c>
      <x:c r="C249" s="15" t="n">
        <x:v>749</x:v>
      </x:c>
      <x:c r="D249" s="15" t="n">
        <x:v>399</x:v>
      </x:c>
      <x:c r="E249" s="16" t="n">
        <x:v>0.25</x:v>
      </x:c>
      <x:c r="F249" s="15" t="n">
        <x:f>INDEX('Inputs'!$D$4:$D$6,MATCH(A249,'Inputs'!$A$4:$A$6,0))</x:f>
        <x:v>189</x:v>
      </x:c>
      <x:c r="G249" s="15" t="n">
        <x:f>INDEX('Inputs'!$E$4:$E$6,MATCH(A249,'Inputs'!$A$4:$A$6,0))</x:f>
        <x:v>85</x:v>
      </x:c>
      <x:c r="H249" s="15" t="n">
        <x:f>D249*(1-E249)</x:f>
        <x:v>299.25</x:v>
      </x:c>
      <x:c r="I249" s="15" t="n">
        <x:f>F249+G249</x:f>
        <x:v>274</x:v>
      </x:c>
      <x:c r="J249" s="15" t="n">
        <x:f>H249-I249</x:f>
        <x:v>25.25</x:v>
      </x:c>
      <x:c r="K249" s="16" t="n">
        <x:f>IFERROR(J249/H249,0)</x:f>
        <x:v>0.08437761069340016</x:v>
      </x:c>
      <x:c r="L249" s="14" t="str">
        <x:f>IF(J249&gt;0,"Provisional positive contribution","Not viable")</x:f>
        <x:v>Provisional positive contribution</x:v>
      </x:c>
    </x:row>
    <x:row r="250">
      <x:c r="A250" s="14" t="str">
        <x:v>300gsm Oversized Cotton</x:v>
      </x:c>
      <x:c r="B250" s="14" t="n">
        <x:v>100</x:v>
      </x:c>
      <x:c r="C250" s="15" t="n">
        <x:v>749</x:v>
      </x:c>
      <x:c r="D250" s="15" t="n">
        <x:v>399</x:v>
      </x:c>
      <x:c r="E250" s="16" t="n">
        <x:v>0.3</x:v>
      </x:c>
      <x:c r="F250" s="15" t="n">
        <x:f>INDEX('Inputs'!$D$4:$D$6,MATCH(A250,'Inputs'!$A$4:$A$6,0))</x:f>
        <x:v>189</x:v>
      </x:c>
      <x:c r="G250" s="15" t="n">
        <x:f>INDEX('Inputs'!$E$4:$E$6,MATCH(A250,'Inputs'!$A$4:$A$6,0))</x:f>
        <x:v>85</x:v>
      </x:c>
      <x:c r="H250" s="15" t="n">
        <x:f>D250*(1-E250)</x:f>
        <x:v>279.29999999999995</x:v>
      </x:c>
      <x:c r="I250" s="15" t="n">
        <x:f>F250+G250</x:f>
        <x:v>274</x:v>
      </x:c>
      <x:c r="J250" s="15" t="n">
        <x:f>H250-I250</x:f>
        <x:v>5.2999999999999545</x:v>
      </x:c>
      <x:c r="K250" s="16" t="n">
        <x:f>IFERROR(J250/H250,0)</x:f>
        <x:v>0.018976011457214306</x:v>
      </x:c>
      <x:c r="L250" s="14" t="str">
        <x:f>IF(J250&gt;0,"Provisional positive contribution","Not viable")</x:f>
        <x:v>Provisional positive contribution</x:v>
      </x:c>
    </x:row>
    <x:row r="251">
      <x:c r="A251" s="14" t="str">
        <x:v>300gsm Oversized Cotton</x:v>
      </x:c>
      <x:c r="B251" s="14" t="n">
        <x:v>100</x:v>
      </x:c>
      <x:c r="C251" s="15" t="n">
        <x:v>749</x:v>
      </x:c>
      <x:c r="D251" s="15" t="n">
        <x:v>399</x:v>
      </x:c>
      <x:c r="E251" s="16" t="n">
        <x:v>0.35</x:v>
      </x:c>
      <x:c r="F251" s="15" t="n">
        <x:f>INDEX('Inputs'!$D$4:$D$6,MATCH(A251,'Inputs'!$A$4:$A$6,0))</x:f>
        <x:v>189</x:v>
      </x:c>
      <x:c r="G251" s="15" t="n">
        <x:f>INDEX('Inputs'!$E$4:$E$6,MATCH(A251,'Inputs'!$A$4:$A$6,0))</x:f>
        <x:v>85</x:v>
      </x:c>
      <x:c r="H251" s="15" t="n">
        <x:f>D251*(1-E251)</x:f>
        <x:v>259.35</x:v>
      </x:c>
      <x:c r="I251" s="15" t="n">
        <x:f>F251+G251</x:f>
        <x:v>274</x:v>
      </x:c>
      <x:c r="J251" s="15" t="n">
        <x:f>H251-I251</x:f>
        <x:v>-14.649999999999977</x:v>
      </x:c>
      <x:c r="K251" s="16" t="n">
        <x:f>IFERROR(J251/H251,0)</x:f>
        <x:v>-0.05648737227684587</x:v>
      </x:c>
      <x:c r="L251" s="14" t="str">
        <x:f>IF(J251&gt;0,"Provisional positive contribution","Not viable")</x:f>
        <x:v>Not viable</x:v>
      </x:c>
    </x:row>
    <x:row r="252">
      <x:c r="A252" s="14" t="str">
        <x:v>300gsm Oversized Cotton</x:v>
      </x:c>
      <x:c r="B252" s="14" t="n">
        <x:v>100</x:v>
      </x:c>
      <x:c r="C252" s="15" t="n">
        <x:v>749</x:v>
      </x:c>
      <x:c r="D252" s="15" t="n">
        <x:v>449</x:v>
      </x:c>
      <x:c r="E252" s="16" t="n">
        <x:v>0.2</x:v>
      </x:c>
      <x:c r="F252" s="15" t="n">
        <x:f>INDEX('Inputs'!$D$4:$D$6,MATCH(A252,'Inputs'!$A$4:$A$6,0))</x:f>
        <x:v>189</x:v>
      </x:c>
      <x:c r="G252" s="15" t="n">
        <x:f>INDEX('Inputs'!$E$4:$E$6,MATCH(A252,'Inputs'!$A$4:$A$6,0))</x:f>
        <x:v>85</x:v>
      </x:c>
      <x:c r="H252" s="15" t="n">
        <x:f>D252*(1-E252)</x:f>
        <x:v>359.20000000000005</x:v>
      </x:c>
      <x:c r="I252" s="15" t="n">
        <x:f>F252+G252</x:f>
        <x:v>274</x:v>
      </x:c>
      <x:c r="J252" s="15" t="n">
        <x:f>H252-I252</x:f>
        <x:v>85.20000000000005</x:v>
      </x:c>
      <x:c r="K252" s="16" t="n">
        <x:f>IFERROR(J252/H252,0)</x:f>
        <x:v>0.23719376391982191</x:v>
      </x:c>
      <x:c r="L252" s="14" t="str">
        <x:f>IF(J252&gt;0,"Provisional positive contribution","Not viable")</x:f>
        <x:v>Provisional positive contribution</x:v>
      </x:c>
    </x:row>
    <x:row r="253">
      <x:c r="A253" s="14" t="str">
        <x:v>300gsm Oversized Cotton</x:v>
      </x:c>
      <x:c r="B253" s="14" t="n">
        <x:v>100</x:v>
      </x:c>
      <x:c r="C253" s="15" t="n">
        <x:v>749</x:v>
      </x:c>
      <x:c r="D253" s="15" t="n">
        <x:v>449</x:v>
      </x:c>
      <x:c r="E253" s="16" t="n">
        <x:v>0.25</x:v>
      </x:c>
      <x:c r="F253" s="15" t="n">
        <x:f>INDEX('Inputs'!$D$4:$D$6,MATCH(A253,'Inputs'!$A$4:$A$6,0))</x:f>
        <x:v>189</x:v>
      </x:c>
      <x:c r="G253" s="15" t="n">
        <x:f>INDEX('Inputs'!$E$4:$E$6,MATCH(A253,'Inputs'!$A$4:$A$6,0))</x:f>
        <x:v>85</x:v>
      </x:c>
      <x:c r="H253" s="15" t="n">
        <x:f>D253*(1-E253)</x:f>
        <x:v>336.75</x:v>
      </x:c>
      <x:c r="I253" s="15" t="n">
        <x:f>F253+G253</x:f>
        <x:v>274</x:v>
      </x:c>
      <x:c r="J253" s="15" t="n">
        <x:f>H253-I253</x:f>
        <x:v>62.75</x:v>
      </x:c>
      <x:c r="K253" s="16" t="n">
        <x:f>IFERROR(J253/H253,0)</x:f>
        <x:v>0.18634001484780996</x:v>
      </x:c>
      <x:c r="L253" s="14" t="str">
        <x:f>IF(J253&gt;0,"Provisional positive contribution","Not viable")</x:f>
        <x:v>Provisional positive contribution</x:v>
      </x:c>
    </x:row>
    <x:row r="254">
      <x:c r="A254" s="14" t="str">
        <x:v>300gsm Oversized Cotton</x:v>
      </x:c>
      <x:c r="B254" s="14" t="n">
        <x:v>100</x:v>
      </x:c>
      <x:c r="C254" s="15" t="n">
        <x:v>749</x:v>
      </x:c>
      <x:c r="D254" s="15" t="n">
        <x:v>449</x:v>
      </x:c>
      <x:c r="E254" s="16" t="n">
        <x:v>0.3</x:v>
      </x:c>
      <x:c r="F254" s="15" t="n">
        <x:f>INDEX('Inputs'!$D$4:$D$6,MATCH(A254,'Inputs'!$A$4:$A$6,0))</x:f>
        <x:v>189</x:v>
      </x:c>
      <x:c r="G254" s="15" t="n">
        <x:f>INDEX('Inputs'!$E$4:$E$6,MATCH(A254,'Inputs'!$A$4:$A$6,0))</x:f>
        <x:v>85</x:v>
      </x:c>
      <x:c r="H254" s="15" t="n">
        <x:f>D254*(1-E254)</x:f>
        <x:v>314.29999999999995</x:v>
      </x:c>
      <x:c r="I254" s="15" t="n">
        <x:f>F254+G254</x:f>
        <x:v>274</x:v>
      </x:c>
      <x:c r="J254" s="15" t="n">
        <x:f>H254-I254</x:f>
        <x:v>40.299999999999955</x:v>
      </x:c>
      <x:c r="K254" s="16" t="n">
        <x:f>IFERROR(J254/H254,0)</x:f>
        <x:v>0.12822144447979625</x:v>
      </x:c>
      <x:c r="L254" s="14" t="str">
        <x:f>IF(J254&gt;0,"Provisional positive contribution","Not viable")</x:f>
        <x:v>Provisional positive contribution</x:v>
      </x:c>
    </x:row>
    <x:row r="255">
      <x:c r="A255" s="14" t="str">
        <x:v>300gsm Oversized Cotton</x:v>
      </x:c>
      <x:c r="B255" s="14" t="n">
        <x:v>100</x:v>
      </x:c>
      <x:c r="C255" s="15" t="n">
        <x:v>749</x:v>
      </x:c>
      <x:c r="D255" s="15" t="n">
        <x:v>449</x:v>
      </x:c>
      <x:c r="E255" s="16" t="n">
        <x:v>0.35</x:v>
      </x:c>
      <x:c r="F255" s="15" t="n">
        <x:f>INDEX('Inputs'!$D$4:$D$6,MATCH(A255,'Inputs'!$A$4:$A$6,0))</x:f>
        <x:v>189</x:v>
      </x:c>
      <x:c r="G255" s="15" t="n">
        <x:f>INDEX('Inputs'!$E$4:$E$6,MATCH(A255,'Inputs'!$A$4:$A$6,0))</x:f>
        <x:v>85</x:v>
      </x:c>
      <x:c r="H255" s="15" t="n">
        <x:f>D255*(1-E255)</x:f>
        <x:v>291.85</x:v>
      </x:c>
      <x:c r="I255" s="15" t="n">
        <x:f>F255+G255</x:f>
        <x:v>274</x:v>
      </x:c>
      <x:c r="J255" s="15" t="n">
        <x:f>H255-I255</x:f>
        <x:v>17.850000000000023</x:v>
      </x:c>
      <x:c r="K255" s="16" t="n">
        <x:f>IFERROR(J255/H255,0)</x:f>
        <x:v>0.06116155559362694</x:v>
      </x:c>
      <x:c r="L255" s="14" t="str">
        <x:f>IF(J255&gt;0,"Provisional positive contribution","Not viable")</x:f>
        <x:v>Provisional positive contribution</x:v>
      </x:c>
    </x:row>
    <x:row r="256">
      <x:c r="A256" s="14" t="str">
        <x:v>300gsm Oversized Cotton</x:v>
      </x:c>
      <x:c r="B256" s="14" t="n">
        <x:v>100</x:v>
      </x:c>
      <x:c r="C256" s="15" t="n">
        <x:v>749</x:v>
      </x:c>
      <x:c r="D256" s="15" t="n">
        <x:v>499</x:v>
      </x:c>
      <x:c r="E256" s="16" t="n">
        <x:v>0.2</x:v>
      </x:c>
      <x:c r="F256" s="15" t="n">
        <x:f>INDEX('Inputs'!$D$4:$D$6,MATCH(A256,'Inputs'!$A$4:$A$6,0))</x:f>
        <x:v>189</x:v>
      </x:c>
      <x:c r="G256" s="15" t="n">
        <x:f>INDEX('Inputs'!$E$4:$E$6,MATCH(A256,'Inputs'!$A$4:$A$6,0))</x:f>
        <x:v>85</x:v>
      </x:c>
      <x:c r="H256" s="15" t="n">
        <x:f>D256*(1-E256)</x:f>
        <x:v>399.20000000000005</x:v>
      </x:c>
      <x:c r="I256" s="15" t="n">
        <x:f>F256+G256</x:f>
        <x:v>274</x:v>
      </x:c>
      <x:c r="J256" s="15" t="n">
        <x:f>H256-I256</x:f>
        <x:v>125.20000000000005</x:v>
      </x:c>
      <x:c r="K256" s="16" t="n">
        <x:f>IFERROR(J256/H256,0)</x:f>
        <x:v>0.3136272545090181</x:v>
      </x:c>
      <x:c r="L256" s="14" t="str">
        <x:f>IF(J256&gt;0,"Provisional positive contribution","Not viable")</x:f>
        <x:v>Provisional positive contribution</x:v>
      </x:c>
    </x:row>
    <x:row r="257">
      <x:c r="A257" s="14" t="str">
        <x:v>300gsm Oversized Cotton</x:v>
      </x:c>
      <x:c r="B257" s="14" t="n">
        <x:v>100</x:v>
      </x:c>
      <x:c r="C257" s="15" t="n">
        <x:v>749</x:v>
      </x:c>
      <x:c r="D257" s="15" t="n">
        <x:v>499</x:v>
      </x:c>
      <x:c r="E257" s="16" t="n">
        <x:v>0.25</x:v>
      </x:c>
      <x:c r="F257" s="15" t="n">
        <x:f>INDEX('Inputs'!$D$4:$D$6,MATCH(A257,'Inputs'!$A$4:$A$6,0))</x:f>
        <x:v>189</x:v>
      </x:c>
      <x:c r="G257" s="15" t="n">
        <x:f>INDEX('Inputs'!$E$4:$E$6,MATCH(A257,'Inputs'!$A$4:$A$6,0))</x:f>
        <x:v>85</x:v>
      </x:c>
      <x:c r="H257" s="15" t="n">
        <x:f>D257*(1-E257)</x:f>
        <x:v>374.25</x:v>
      </x:c>
      <x:c r="I257" s="15" t="n">
        <x:f>F257+G257</x:f>
        <x:v>274</x:v>
      </x:c>
      <x:c r="J257" s="15" t="n">
        <x:f>H257-I257</x:f>
        <x:v>100.25</x:v>
      </x:c>
      <x:c r="K257" s="16" t="n">
        <x:f>IFERROR(J257/H257,0)</x:f>
        <x:v>0.2678690714762859</x:v>
      </x:c>
      <x:c r="L257" s="14" t="str">
        <x:f>IF(J257&gt;0,"Provisional positive contribution","Not viable")</x:f>
        <x:v>Provisional positive contribution</x:v>
      </x:c>
    </x:row>
    <x:row r="258">
      <x:c r="A258" s="14" t="str">
        <x:v>300gsm Oversized Cotton</x:v>
      </x:c>
      <x:c r="B258" s="14" t="n">
        <x:v>100</x:v>
      </x:c>
      <x:c r="C258" s="15" t="n">
        <x:v>749</x:v>
      </x:c>
      <x:c r="D258" s="15" t="n">
        <x:v>499</x:v>
      </x:c>
      <x:c r="E258" s="16" t="n">
        <x:v>0.3</x:v>
      </x:c>
      <x:c r="F258" s="15" t="n">
        <x:f>INDEX('Inputs'!$D$4:$D$6,MATCH(A258,'Inputs'!$A$4:$A$6,0))</x:f>
        <x:v>189</x:v>
      </x:c>
      <x:c r="G258" s="15" t="n">
        <x:f>INDEX('Inputs'!$E$4:$E$6,MATCH(A258,'Inputs'!$A$4:$A$6,0))</x:f>
        <x:v>85</x:v>
      </x:c>
      <x:c r="H258" s="15" t="n">
        <x:f>D258*(1-E258)</x:f>
        <x:v>349.29999999999995</x:v>
      </x:c>
      <x:c r="I258" s="15" t="n">
        <x:f>F258+G258</x:f>
        <x:v>274</x:v>
      </x:c>
      <x:c r="J258" s="15" t="n">
        <x:f>H258-I258</x:f>
        <x:v>75.29999999999995</x:v>
      </x:c>
      <x:c r="K258" s="16" t="n">
        <x:f>IFERROR(J258/H258,0)</x:f>
        <x:v>0.21557400515316336</x:v>
      </x:c>
      <x:c r="L258" s="14" t="str">
        <x:f>IF(J258&gt;0,"Provisional positive contribution","Not viable")</x:f>
        <x:v>Provisional positive contribution</x:v>
      </x:c>
    </x:row>
    <x:row r="259">
      <x:c r="A259" s="14" t="str">
        <x:v>300gsm Oversized Cotton</x:v>
      </x:c>
      <x:c r="B259" s="14" t="n">
        <x:v>100</x:v>
      </x:c>
      <x:c r="C259" s="15" t="n">
        <x:v>749</x:v>
      </x:c>
      <x:c r="D259" s="15" t="n">
        <x:v>499</x:v>
      </x:c>
      <x:c r="E259" s="16" t="n">
        <x:v>0.35</x:v>
      </x:c>
      <x:c r="F259" s="15" t="n">
        <x:f>INDEX('Inputs'!$D$4:$D$6,MATCH(A259,'Inputs'!$A$4:$A$6,0))</x:f>
        <x:v>189</x:v>
      </x:c>
      <x:c r="G259" s="15" t="n">
        <x:f>INDEX('Inputs'!$E$4:$E$6,MATCH(A259,'Inputs'!$A$4:$A$6,0))</x:f>
        <x:v>85</x:v>
      </x:c>
      <x:c r="H259" s="15" t="n">
        <x:f>D259*(1-E259)</x:f>
        <x:v>324.35</x:v>
      </x:c>
      <x:c r="I259" s="15" t="n">
        <x:f>F259+G259</x:f>
        <x:v>274</x:v>
      </x:c>
      <x:c r="J259" s="15" t="n">
        <x:f>H259-I259</x:f>
        <x:v>50.35000000000002</x:v>
      </x:c>
      <x:c r="K259" s="16" t="n">
        <x:f>IFERROR(J259/H259,0)</x:f>
        <x:v>0.15523354401109918</x:v>
      </x:c>
      <x:c r="L259" s="14" t="str">
        <x:f>IF(J259&gt;0,"Provisional positive contribution","Not viable")</x:f>
        <x:v>Provisional positive contribution</x:v>
      </x:c>
    </x:row>
    <x:row r="260">
      <x:c r="A260" s="14" t="str">
        <x:v>240gsm Oversized</x:v>
      </x:c>
      <x:c r="B260" s="14" t="n">
        <x:v>10</x:v>
      </x:c>
      <x:c r="C260" s="15" t="n">
        <x:v>599</x:v>
      </x:c>
      <x:c r="D260" s="15" t="n">
        <x:v>349</x:v>
      </x:c>
      <x:c r="E260" s="16" t="n">
        <x:v>0.2</x:v>
      </x:c>
      <x:c r="F260" s="15" t="n">
        <x:f>INDEX('Inputs'!$D$4:$D$6,MATCH(A260,'Inputs'!$A$4:$A$6,0))</x:f>
        <x:v>125</x:v>
      </x:c>
      <x:c r="G260" s="15" t="n">
        <x:f>INDEX('Inputs'!$E$4:$E$6,MATCH(A260,'Inputs'!$A$4:$A$6,0))</x:f>
        <x:v>85</x:v>
      </x:c>
      <x:c r="H260" s="15" t="n">
        <x:f>D260*(1-E260)</x:f>
        <x:v>279.2</x:v>
      </x:c>
      <x:c r="I260" s="15" t="n">
        <x:f>F260+G260</x:f>
        <x:v>210</x:v>
      </x:c>
      <x:c r="J260" s="15" t="n">
        <x:f>H260-I260</x:f>
        <x:v>69.19999999999999</x:v>
      </x:c>
      <x:c r="K260" s="16" t="n">
        <x:f>IFERROR(J260/H260,0)</x:f>
        <x:v>0.2478510028653295</x:v>
      </x:c>
      <x:c r="L260" s="14" t="str">
        <x:f>IF(J260&gt;0,"Provisional positive contribution","Not viable")</x:f>
        <x:v>Provisional positive contribution</x:v>
      </x:c>
    </x:row>
    <x:row r="261">
      <x:c r="A261" s="14" t="str">
        <x:v>240gsm Oversized</x:v>
      </x:c>
      <x:c r="B261" s="14" t="n">
        <x:v>10</x:v>
      </x:c>
      <x:c r="C261" s="15" t="n">
        <x:v>599</x:v>
      </x:c>
      <x:c r="D261" s="15" t="n">
        <x:v>349</x:v>
      </x:c>
      <x:c r="E261" s="16" t="n">
        <x:v>0.25</x:v>
      </x:c>
      <x:c r="F261" s="15" t="n">
        <x:f>INDEX('Inputs'!$D$4:$D$6,MATCH(A261,'Inputs'!$A$4:$A$6,0))</x:f>
        <x:v>125</x:v>
      </x:c>
      <x:c r="G261" s="15" t="n">
        <x:f>INDEX('Inputs'!$E$4:$E$6,MATCH(A261,'Inputs'!$A$4:$A$6,0))</x:f>
        <x:v>85</x:v>
      </x:c>
      <x:c r="H261" s="15" t="n">
        <x:f>D261*(1-E261)</x:f>
        <x:v>261.75</x:v>
      </x:c>
      <x:c r="I261" s="15" t="n">
        <x:f>F261+G261</x:f>
        <x:v>210</x:v>
      </x:c>
      <x:c r="J261" s="15" t="n">
        <x:f>H261-I261</x:f>
        <x:v>51.75</x:v>
      </x:c>
      <x:c r="K261" s="16" t="n">
        <x:f>IFERROR(J261/H261,0)</x:f>
        <x:v>0.1977077363896848</x:v>
      </x:c>
      <x:c r="L261" s="14" t="str">
        <x:f>IF(J261&gt;0,"Provisional positive contribution","Not viable")</x:f>
        <x:v>Provisional positive contribution</x:v>
      </x:c>
    </x:row>
    <x:row r="262">
      <x:c r="A262" s="14" t="str">
        <x:v>240gsm Oversized</x:v>
      </x:c>
      <x:c r="B262" s="14" t="n">
        <x:v>10</x:v>
      </x:c>
      <x:c r="C262" s="15" t="n">
        <x:v>599</x:v>
      </x:c>
      <x:c r="D262" s="15" t="n">
        <x:v>349</x:v>
      </x:c>
      <x:c r="E262" s="16" t="n">
        <x:v>0.3</x:v>
      </x:c>
      <x:c r="F262" s="15" t="n">
        <x:f>INDEX('Inputs'!$D$4:$D$6,MATCH(A262,'Inputs'!$A$4:$A$6,0))</x:f>
        <x:v>125</x:v>
      </x:c>
      <x:c r="G262" s="15" t="n">
        <x:f>INDEX('Inputs'!$E$4:$E$6,MATCH(A262,'Inputs'!$A$4:$A$6,0))</x:f>
        <x:v>85</x:v>
      </x:c>
      <x:c r="H262" s="15" t="n">
        <x:f>D262*(1-E262)</x:f>
        <x:v>244.29999999999998</x:v>
      </x:c>
      <x:c r="I262" s="15" t="n">
        <x:f>F262+G262</x:f>
        <x:v>210</x:v>
      </x:c>
      <x:c r="J262" s="15" t="n">
        <x:f>H262-I262</x:f>
        <x:v>34.29999999999998</x:v>
      </x:c>
      <x:c r="K262" s="16" t="n">
        <x:f>IFERROR(J262/H262,0)</x:f>
        <x:v>0.1404011461318051</x:v>
      </x:c>
      <x:c r="L262" s="14" t="str">
        <x:f>IF(J262&gt;0,"Provisional positive contribution","Not viable")</x:f>
        <x:v>Provisional positive contribution</x:v>
      </x:c>
    </x:row>
    <x:row r="263">
      <x:c r="A263" s="14" t="str">
        <x:v>240gsm Oversized</x:v>
      </x:c>
      <x:c r="B263" s="14" t="n">
        <x:v>10</x:v>
      </x:c>
      <x:c r="C263" s="15" t="n">
        <x:v>599</x:v>
      </x:c>
      <x:c r="D263" s="15" t="n">
        <x:v>349</x:v>
      </x:c>
      <x:c r="E263" s="16" t="n">
        <x:v>0.35</x:v>
      </x:c>
      <x:c r="F263" s="15" t="n">
        <x:f>INDEX('Inputs'!$D$4:$D$6,MATCH(A263,'Inputs'!$A$4:$A$6,0))</x:f>
        <x:v>125</x:v>
      </x:c>
      <x:c r="G263" s="15" t="n">
        <x:f>INDEX('Inputs'!$E$4:$E$6,MATCH(A263,'Inputs'!$A$4:$A$6,0))</x:f>
        <x:v>85</x:v>
      </x:c>
      <x:c r="H263" s="15" t="n">
        <x:f>D263*(1-E263)</x:f>
        <x:v>226.85</x:v>
      </x:c>
      <x:c r="I263" s="15" t="n">
        <x:f>F263+G263</x:f>
        <x:v>210</x:v>
      </x:c>
      <x:c r="J263" s="15" t="n">
        <x:f>H263-I263</x:f>
        <x:v>16.849999999999994</x:v>
      </x:c>
      <x:c r="K263" s="16" t="n">
        <x:f>IFERROR(J263/H263,0)</x:f>
        <x:v>0.07427815737271322</x:v>
      </x:c>
      <x:c r="L263" s="14" t="str">
        <x:f>IF(J263&gt;0,"Provisional positive contribution","Not viable")</x:f>
        <x:v>Provisional positive contribution</x:v>
      </x:c>
    </x:row>
    <x:row r="264">
      <x:c r="A264" s="14" t="str">
        <x:v>240gsm Oversized</x:v>
      </x:c>
      <x:c r="B264" s="14" t="n">
        <x:v>10</x:v>
      </x:c>
      <x:c r="C264" s="15" t="n">
        <x:v>599</x:v>
      </x:c>
      <x:c r="D264" s="15" t="n">
        <x:v>399</x:v>
      </x:c>
      <x:c r="E264" s="16" t="n">
        <x:v>0.2</x:v>
      </x:c>
      <x:c r="F264" s="15" t="n">
        <x:f>INDEX('Inputs'!$D$4:$D$6,MATCH(A264,'Inputs'!$A$4:$A$6,0))</x:f>
        <x:v>125</x:v>
      </x:c>
      <x:c r="G264" s="15" t="n">
        <x:f>INDEX('Inputs'!$E$4:$E$6,MATCH(A264,'Inputs'!$A$4:$A$6,0))</x:f>
        <x:v>85</x:v>
      </x:c>
      <x:c r="H264" s="15" t="n">
        <x:f>D264*(1-E264)</x:f>
        <x:v>319.20000000000005</x:v>
      </x:c>
      <x:c r="I264" s="15" t="n">
        <x:f>F264+G264</x:f>
        <x:v>210</x:v>
      </x:c>
      <x:c r="J264" s="15" t="n">
        <x:f>H264-I264</x:f>
        <x:v>109.20000000000005</x:v>
      </x:c>
      <x:c r="K264" s="16" t="n">
        <x:f>IFERROR(J264/H264,0)</x:f>
        <x:v>0.34210526315789486</x:v>
      </x:c>
      <x:c r="L264" s="14" t="str">
        <x:f>IF(J264&gt;0,"Provisional positive contribution","Not viable")</x:f>
        <x:v>Provisional positive contribution</x:v>
      </x:c>
    </x:row>
    <x:row r="265">
      <x:c r="A265" s="14" t="str">
        <x:v>240gsm Oversized</x:v>
      </x:c>
      <x:c r="B265" s="14" t="n">
        <x:v>10</x:v>
      </x:c>
      <x:c r="C265" s="15" t="n">
        <x:v>599</x:v>
      </x:c>
      <x:c r="D265" s="15" t="n">
        <x:v>399</x:v>
      </x:c>
      <x:c r="E265" s="16" t="n">
        <x:v>0.25</x:v>
      </x:c>
      <x:c r="F265" s="15" t="n">
        <x:f>INDEX('Inputs'!$D$4:$D$6,MATCH(A265,'Inputs'!$A$4:$A$6,0))</x:f>
        <x:v>125</x:v>
      </x:c>
      <x:c r="G265" s="15" t="n">
        <x:f>INDEX('Inputs'!$E$4:$E$6,MATCH(A265,'Inputs'!$A$4:$A$6,0))</x:f>
        <x:v>85</x:v>
      </x:c>
      <x:c r="H265" s="15" t="n">
        <x:f>D265*(1-E265)</x:f>
        <x:v>299.25</x:v>
      </x:c>
      <x:c r="I265" s="15" t="n">
        <x:f>F265+G265</x:f>
        <x:v>210</x:v>
      </x:c>
      <x:c r="J265" s="15" t="n">
        <x:f>H265-I265</x:f>
        <x:v>89.25</x:v>
      </x:c>
      <x:c r="K265" s="16" t="n">
        <x:f>IFERROR(J265/H265,0)</x:f>
        <x:v>0.2982456140350877</x:v>
      </x:c>
      <x:c r="L265" s="14" t="str">
        <x:f>IF(J265&gt;0,"Provisional positive contribution","Not viable")</x:f>
        <x:v>Provisional positive contribution</x:v>
      </x:c>
    </x:row>
    <x:row r="266">
      <x:c r="A266" s="14" t="str">
        <x:v>240gsm Oversized</x:v>
      </x:c>
      <x:c r="B266" s="14" t="n">
        <x:v>10</x:v>
      </x:c>
      <x:c r="C266" s="15" t="n">
        <x:v>599</x:v>
      </x:c>
      <x:c r="D266" s="15" t="n">
        <x:v>399</x:v>
      </x:c>
      <x:c r="E266" s="16" t="n">
        <x:v>0.3</x:v>
      </x:c>
      <x:c r="F266" s="15" t="n">
        <x:f>INDEX('Inputs'!$D$4:$D$6,MATCH(A266,'Inputs'!$A$4:$A$6,0))</x:f>
        <x:v>125</x:v>
      </x:c>
      <x:c r="G266" s="15" t="n">
        <x:f>INDEX('Inputs'!$E$4:$E$6,MATCH(A266,'Inputs'!$A$4:$A$6,0))</x:f>
        <x:v>85</x:v>
      </x:c>
      <x:c r="H266" s="15" t="n">
        <x:f>D266*(1-E266)</x:f>
        <x:v>279.29999999999995</x:v>
      </x:c>
      <x:c r="I266" s="15" t="n">
        <x:f>F266+G266</x:f>
        <x:v>210</x:v>
      </x:c>
      <x:c r="J266" s="15" t="n">
        <x:f>H266-I266</x:f>
        <x:v>69.29999999999995</x:v>
      </x:c>
      <x:c r="K266" s="16" t="n">
        <x:f>IFERROR(J266/H266,0)</x:f>
        <x:v>0.24812030075187957</x:v>
      </x:c>
      <x:c r="L266" s="14" t="str">
        <x:f>IF(J266&gt;0,"Provisional positive contribution","Not viable")</x:f>
        <x:v>Provisional positive contribution</x:v>
      </x:c>
    </x:row>
    <x:row r="267">
      <x:c r="A267" s="14" t="str">
        <x:v>240gsm Oversized</x:v>
      </x:c>
      <x:c r="B267" s="14" t="n">
        <x:v>10</x:v>
      </x:c>
      <x:c r="C267" s="15" t="n">
        <x:v>599</x:v>
      </x:c>
      <x:c r="D267" s="15" t="n">
        <x:v>399</x:v>
      </x:c>
      <x:c r="E267" s="16" t="n">
        <x:v>0.35</x:v>
      </x:c>
      <x:c r="F267" s="15" t="n">
        <x:f>INDEX('Inputs'!$D$4:$D$6,MATCH(A267,'Inputs'!$A$4:$A$6,0))</x:f>
        <x:v>125</x:v>
      </x:c>
      <x:c r="G267" s="15" t="n">
        <x:f>INDEX('Inputs'!$E$4:$E$6,MATCH(A267,'Inputs'!$A$4:$A$6,0))</x:f>
        <x:v>85</x:v>
      </x:c>
      <x:c r="H267" s="15" t="n">
        <x:f>D267*(1-E267)</x:f>
        <x:v>259.35</x:v>
      </x:c>
      <x:c r="I267" s="15" t="n">
        <x:f>F267+G267</x:f>
        <x:v>210</x:v>
      </x:c>
      <x:c r="J267" s="15" t="n">
        <x:f>H267-I267</x:f>
        <x:v>49.35000000000002</x:v>
      </x:c>
      <x:c r="K267" s="16" t="n">
        <x:f>IFERROR(J267/H267,0)</x:f>
        <x:v>0.19028340080971667</x:v>
      </x:c>
      <x:c r="L267" s="14" t="str">
        <x:f>IF(J267&gt;0,"Provisional positive contribution","Not viable")</x:f>
        <x:v>Provisional positive contribution</x:v>
      </x:c>
    </x:row>
    <x:row r="268">
      <x:c r="A268" s="14" t="str">
        <x:v>240gsm Oversized</x:v>
      </x:c>
      <x:c r="B268" s="14" t="n">
        <x:v>10</x:v>
      </x:c>
      <x:c r="C268" s="15" t="n">
        <x:v>599</x:v>
      </x:c>
      <x:c r="D268" s="15" t="n">
        <x:v>449</x:v>
      </x:c>
      <x:c r="E268" s="16" t="n">
        <x:v>0.2</x:v>
      </x:c>
      <x:c r="F268" s="15" t="n">
        <x:f>INDEX('Inputs'!$D$4:$D$6,MATCH(A268,'Inputs'!$A$4:$A$6,0))</x:f>
        <x:v>125</x:v>
      </x:c>
      <x:c r="G268" s="15" t="n">
        <x:f>INDEX('Inputs'!$E$4:$E$6,MATCH(A268,'Inputs'!$A$4:$A$6,0))</x:f>
        <x:v>85</x:v>
      </x:c>
      <x:c r="H268" s="15" t="n">
        <x:f>D268*(1-E268)</x:f>
        <x:v>359.20000000000005</x:v>
      </x:c>
      <x:c r="I268" s="15" t="n">
        <x:f>F268+G268</x:f>
        <x:v>210</x:v>
      </x:c>
      <x:c r="J268" s="15" t="n">
        <x:f>H268-I268</x:f>
        <x:v>149.20000000000005</x:v>
      </x:c>
      <x:c r="K268" s="16" t="n">
        <x:f>IFERROR(J268/H268,0)</x:f>
        <x:v>0.41536748329621387</x:v>
      </x:c>
      <x:c r="L268" s="14" t="str">
        <x:f>IF(J268&gt;0,"Provisional positive contribution","Not viable")</x:f>
        <x:v>Provisional positive contribution</x:v>
      </x:c>
    </x:row>
    <x:row r="269">
      <x:c r="A269" s="14" t="str">
        <x:v>240gsm Oversized</x:v>
      </x:c>
      <x:c r="B269" s="14" t="n">
        <x:v>10</x:v>
      </x:c>
      <x:c r="C269" s="15" t="n">
        <x:v>599</x:v>
      </x:c>
      <x:c r="D269" s="15" t="n">
        <x:v>449</x:v>
      </x:c>
      <x:c r="E269" s="16" t="n">
        <x:v>0.25</x:v>
      </x:c>
      <x:c r="F269" s="15" t="n">
        <x:f>INDEX('Inputs'!$D$4:$D$6,MATCH(A269,'Inputs'!$A$4:$A$6,0))</x:f>
        <x:v>125</x:v>
      </x:c>
      <x:c r="G269" s="15" t="n">
        <x:f>INDEX('Inputs'!$E$4:$E$6,MATCH(A269,'Inputs'!$A$4:$A$6,0))</x:f>
        <x:v>85</x:v>
      </x:c>
      <x:c r="H269" s="15" t="n">
        <x:f>D269*(1-E269)</x:f>
        <x:v>336.75</x:v>
      </x:c>
      <x:c r="I269" s="15" t="n">
        <x:f>F269+G269</x:f>
        <x:v>210</x:v>
      </x:c>
      <x:c r="J269" s="15" t="n">
        <x:f>H269-I269</x:f>
        <x:v>126.75</x:v>
      </x:c>
      <x:c r="K269" s="16" t="n">
        <x:f>IFERROR(J269/H269,0)</x:f>
        <x:v>0.37639198218262804</x:v>
      </x:c>
      <x:c r="L269" s="14" t="str">
        <x:f>IF(J269&gt;0,"Provisional positive contribution","Not viable")</x:f>
        <x:v>Provisional positive contribution</x:v>
      </x:c>
    </x:row>
    <x:row r="270">
      <x:c r="A270" s="14" t="str">
        <x:v>240gsm Oversized</x:v>
      </x:c>
      <x:c r="B270" s="14" t="n">
        <x:v>10</x:v>
      </x:c>
      <x:c r="C270" s="15" t="n">
        <x:v>599</x:v>
      </x:c>
      <x:c r="D270" s="15" t="n">
        <x:v>449</x:v>
      </x:c>
      <x:c r="E270" s="16" t="n">
        <x:v>0.3</x:v>
      </x:c>
      <x:c r="F270" s="15" t="n">
        <x:f>INDEX('Inputs'!$D$4:$D$6,MATCH(A270,'Inputs'!$A$4:$A$6,0))</x:f>
        <x:v>125</x:v>
      </x:c>
      <x:c r="G270" s="15" t="n">
        <x:f>INDEX('Inputs'!$E$4:$E$6,MATCH(A270,'Inputs'!$A$4:$A$6,0))</x:f>
        <x:v>85</x:v>
      </x:c>
      <x:c r="H270" s="15" t="n">
        <x:f>D270*(1-E270)</x:f>
        <x:v>314.29999999999995</x:v>
      </x:c>
      <x:c r="I270" s="15" t="n">
        <x:f>F270+G270</x:f>
        <x:v>210</x:v>
      </x:c>
      <x:c r="J270" s="15" t="n">
        <x:f>H270-I270</x:f>
        <x:v>104.29999999999995</x:v>
      </x:c>
      <x:c r="K270" s="16" t="n">
        <x:f>IFERROR(J270/H270,0)</x:f>
        <x:v>0.33184855233852995</x:v>
      </x:c>
      <x:c r="L270" s="14" t="str">
        <x:f>IF(J270&gt;0,"Provisional positive contribution","Not viable")</x:f>
        <x:v>Provisional positive contribution</x:v>
      </x:c>
    </x:row>
    <x:row r="271">
      <x:c r="A271" s="14" t="str">
        <x:v>240gsm Oversized</x:v>
      </x:c>
      <x:c r="B271" s="14" t="n">
        <x:v>10</x:v>
      </x:c>
      <x:c r="C271" s="15" t="n">
        <x:v>599</x:v>
      </x:c>
      <x:c r="D271" s="15" t="n">
        <x:v>449</x:v>
      </x:c>
      <x:c r="E271" s="16" t="n">
        <x:v>0.35</x:v>
      </x:c>
      <x:c r="F271" s="15" t="n">
        <x:f>INDEX('Inputs'!$D$4:$D$6,MATCH(A271,'Inputs'!$A$4:$A$6,0))</x:f>
        <x:v>125</x:v>
      </x:c>
      <x:c r="G271" s="15" t="n">
        <x:f>INDEX('Inputs'!$E$4:$E$6,MATCH(A271,'Inputs'!$A$4:$A$6,0))</x:f>
        <x:v>85</x:v>
      </x:c>
      <x:c r="H271" s="15" t="n">
        <x:f>D271*(1-E271)</x:f>
        <x:v>291.85</x:v>
      </x:c>
      <x:c r="I271" s="15" t="n">
        <x:f>F271+G271</x:f>
        <x:v>210</x:v>
      </x:c>
      <x:c r="J271" s="15" t="n">
        <x:f>H271-I271</x:f>
        <x:v>81.85000000000002</x:v>
      </x:c>
      <x:c r="K271" s="16" t="n">
        <x:f>IFERROR(J271/H271,0)</x:f>
        <x:v>0.28045228713380166</x:v>
      </x:c>
      <x:c r="L271" s="14" t="str">
        <x:f>IF(J271&gt;0,"Provisional positive contribution","Not viable")</x:f>
        <x:v>Provisional positive contribution</x:v>
      </x:c>
    </x:row>
    <x:row r="272">
      <x:c r="A272" s="14" t="str">
        <x:v>240gsm Oversized</x:v>
      </x:c>
      <x:c r="B272" s="14" t="n">
        <x:v>10</x:v>
      </x:c>
      <x:c r="C272" s="15" t="n">
        <x:v>599</x:v>
      </x:c>
      <x:c r="D272" s="15" t="n">
        <x:v>499</x:v>
      </x:c>
      <x:c r="E272" s="16" t="n">
        <x:v>0.2</x:v>
      </x:c>
      <x:c r="F272" s="15" t="n">
        <x:f>INDEX('Inputs'!$D$4:$D$6,MATCH(A272,'Inputs'!$A$4:$A$6,0))</x:f>
        <x:v>125</x:v>
      </x:c>
      <x:c r="G272" s="15" t="n">
        <x:f>INDEX('Inputs'!$E$4:$E$6,MATCH(A272,'Inputs'!$A$4:$A$6,0))</x:f>
        <x:v>85</x:v>
      </x:c>
      <x:c r="H272" s="15" t="n">
        <x:f>D272*(1-E272)</x:f>
        <x:v>399.20000000000005</x:v>
      </x:c>
      <x:c r="I272" s="15" t="n">
        <x:f>F272+G272</x:f>
        <x:v>210</x:v>
      </x:c>
      <x:c r="J272" s="15" t="n">
        <x:f>H272-I272</x:f>
        <x:v>189.20000000000005</x:v>
      </x:c>
      <x:c r="K272" s="16" t="n">
        <x:f>IFERROR(J272/H272,0)</x:f>
        <x:v>0.47394789579158325</x:v>
      </x:c>
      <x:c r="L272" s="14" t="str">
        <x:f>IF(J272&gt;0,"Provisional positive contribution","Not viable")</x:f>
        <x:v>Provisional positive contribution</x:v>
      </x:c>
    </x:row>
    <x:row r="273">
      <x:c r="A273" s="14" t="str">
        <x:v>240gsm Oversized</x:v>
      </x:c>
      <x:c r="B273" s="14" t="n">
        <x:v>10</x:v>
      </x:c>
      <x:c r="C273" s="15" t="n">
        <x:v>599</x:v>
      </x:c>
      <x:c r="D273" s="15" t="n">
        <x:v>499</x:v>
      </x:c>
      <x:c r="E273" s="16" t="n">
        <x:v>0.25</x:v>
      </x:c>
      <x:c r="F273" s="15" t="n">
        <x:f>INDEX('Inputs'!$D$4:$D$6,MATCH(A273,'Inputs'!$A$4:$A$6,0))</x:f>
        <x:v>125</x:v>
      </x:c>
      <x:c r="G273" s="15" t="n">
        <x:f>INDEX('Inputs'!$E$4:$E$6,MATCH(A273,'Inputs'!$A$4:$A$6,0))</x:f>
        <x:v>85</x:v>
      </x:c>
      <x:c r="H273" s="15" t="n">
        <x:f>D273*(1-E273)</x:f>
        <x:v>374.25</x:v>
      </x:c>
      <x:c r="I273" s="15" t="n">
        <x:f>F273+G273</x:f>
        <x:v>210</x:v>
      </x:c>
      <x:c r="J273" s="15" t="n">
        <x:f>H273-I273</x:f>
        <x:v>164.25</x:v>
      </x:c>
      <x:c r="K273" s="16" t="n">
        <x:f>IFERROR(J273/H273,0)</x:f>
        <x:v>0.43887775551102204</x:v>
      </x:c>
      <x:c r="L273" s="14" t="str">
        <x:f>IF(J273&gt;0,"Provisional positive contribution","Not viable")</x:f>
        <x:v>Provisional positive contribution</x:v>
      </x:c>
    </x:row>
    <x:row r="274">
      <x:c r="A274" s="14" t="str">
        <x:v>240gsm Oversized</x:v>
      </x:c>
      <x:c r="B274" s="14" t="n">
        <x:v>10</x:v>
      </x:c>
      <x:c r="C274" s="15" t="n">
        <x:v>599</x:v>
      </x:c>
      <x:c r="D274" s="15" t="n">
        <x:v>499</x:v>
      </x:c>
      <x:c r="E274" s="16" t="n">
        <x:v>0.3</x:v>
      </x:c>
      <x:c r="F274" s="15" t="n">
        <x:f>INDEX('Inputs'!$D$4:$D$6,MATCH(A274,'Inputs'!$A$4:$A$6,0))</x:f>
        <x:v>125</x:v>
      </x:c>
      <x:c r="G274" s="15" t="n">
        <x:f>INDEX('Inputs'!$E$4:$E$6,MATCH(A274,'Inputs'!$A$4:$A$6,0))</x:f>
        <x:v>85</x:v>
      </x:c>
      <x:c r="H274" s="15" t="n">
        <x:f>D274*(1-E274)</x:f>
        <x:v>349.29999999999995</x:v>
      </x:c>
      <x:c r="I274" s="15" t="n">
        <x:f>F274+G274</x:f>
        <x:v>210</x:v>
      </x:c>
      <x:c r="J274" s="15" t="n">
        <x:f>H274-I274</x:f>
        <x:v>139.29999999999995</x:v>
      </x:c>
      <x:c r="K274" s="16" t="n">
        <x:f>IFERROR(J274/H274,0)</x:f>
        <x:v>0.39879759519038066</x:v>
      </x:c>
      <x:c r="L274" s="14" t="str">
        <x:f>IF(J274&gt;0,"Provisional positive contribution","Not viable")</x:f>
        <x:v>Provisional positive contribution</x:v>
      </x:c>
    </x:row>
    <x:row r="275">
      <x:c r="A275" s="14" t="str">
        <x:v>240gsm Oversized</x:v>
      </x:c>
      <x:c r="B275" s="14" t="n">
        <x:v>10</x:v>
      </x:c>
      <x:c r="C275" s="15" t="n">
        <x:v>599</x:v>
      </x:c>
      <x:c r="D275" s="15" t="n">
        <x:v>499</x:v>
      </x:c>
      <x:c r="E275" s="16" t="n">
        <x:v>0.35</x:v>
      </x:c>
      <x:c r="F275" s="15" t="n">
        <x:f>INDEX('Inputs'!$D$4:$D$6,MATCH(A275,'Inputs'!$A$4:$A$6,0))</x:f>
        <x:v>125</x:v>
      </x:c>
      <x:c r="G275" s="15" t="n">
        <x:f>INDEX('Inputs'!$E$4:$E$6,MATCH(A275,'Inputs'!$A$4:$A$6,0))</x:f>
        <x:v>85</x:v>
      </x:c>
      <x:c r="H275" s="15" t="n">
        <x:f>D275*(1-E275)</x:f>
        <x:v>324.35</x:v>
      </x:c>
      <x:c r="I275" s="15" t="n">
        <x:f>F275+G275</x:f>
        <x:v>210</x:v>
      </x:c>
      <x:c r="J275" s="15" t="n">
        <x:f>H275-I275</x:f>
        <x:v>114.35000000000002</x:v>
      </x:c>
      <x:c r="K275" s="16" t="n">
        <x:f>IFERROR(J275/H275,0)</x:f>
        <x:v>0.35255125635887163</x:v>
      </x:c>
      <x:c r="L275" s="14" t="str">
        <x:f>IF(J275&gt;0,"Provisional positive contribution","Not viable")</x:f>
        <x:v>Provisional positive contribution</x:v>
      </x:c>
    </x:row>
    <x:row r="276">
      <x:c r="A276" s="14" t="str">
        <x:v>240gsm Oversized</x:v>
      </x:c>
      <x:c r="B276" s="14" t="n">
        <x:v>10</x:v>
      </x:c>
      <x:c r="C276" s="15" t="n">
        <x:v>649</x:v>
      </x:c>
      <x:c r="D276" s="15" t="n">
        <x:v>349</x:v>
      </x:c>
      <x:c r="E276" s="16" t="n">
        <x:v>0.2</x:v>
      </x:c>
      <x:c r="F276" s="15" t="n">
        <x:f>INDEX('Inputs'!$D$4:$D$6,MATCH(A276,'Inputs'!$A$4:$A$6,0))</x:f>
        <x:v>125</x:v>
      </x:c>
      <x:c r="G276" s="15" t="n">
        <x:f>INDEX('Inputs'!$E$4:$E$6,MATCH(A276,'Inputs'!$A$4:$A$6,0))</x:f>
        <x:v>85</x:v>
      </x:c>
      <x:c r="H276" s="15" t="n">
        <x:f>D276*(1-E276)</x:f>
        <x:v>279.2</x:v>
      </x:c>
      <x:c r="I276" s="15" t="n">
        <x:f>F276+G276</x:f>
        <x:v>210</x:v>
      </x:c>
      <x:c r="J276" s="15" t="n">
        <x:f>H276-I276</x:f>
        <x:v>69.19999999999999</x:v>
      </x:c>
      <x:c r="K276" s="16" t="n">
        <x:f>IFERROR(J276/H276,0)</x:f>
        <x:v>0.2478510028653295</x:v>
      </x:c>
      <x:c r="L276" s="14" t="str">
        <x:f>IF(J276&gt;0,"Provisional positive contribution","Not viable")</x:f>
        <x:v>Provisional positive contribution</x:v>
      </x:c>
    </x:row>
    <x:row r="277">
      <x:c r="A277" s="14" t="str">
        <x:v>240gsm Oversized</x:v>
      </x:c>
      <x:c r="B277" s="14" t="n">
        <x:v>10</x:v>
      </x:c>
      <x:c r="C277" s="15" t="n">
        <x:v>649</x:v>
      </x:c>
      <x:c r="D277" s="15" t="n">
        <x:v>349</x:v>
      </x:c>
      <x:c r="E277" s="16" t="n">
        <x:v>0.25</x:v>
      </x:c>
      <x:c r="F277" s="15" t="n">
        <x:f>INDEX('Inputs'!$D$4:$D$6,MATCH(A277,'Inputs'!$A$4:$A$6,0))</x:f>
        <x:v>125</x:v>
      </x:c>
      <x:c r="G277" s="15" t="n">
        <x:f>INDEX('Inputs'!$E$4:$E$6,MATCH(A277,'Inputs'!$A$4:$A$6,0))</x:f>
        <x:v>85</x:v>
      </x:c>
      <x:c r="H277" s="15" t="n">
        <x:f>D277*(1-E277)</x:f>
        <x:v>261.75</x:v>
      </x:c>
      <x:c r="I277" s="15" t="n">
        <x:f>F277+G277</x:f>
        <x:v>210</x:v>
      </x:c>
      <x:c r="J277" s="15" t="n">
        <x:f>H277-I277</x:f>
        <x:v>51.75</x:v>
      </x:c>
      <x:c r="K277" s="16" t="n">
        <x:f>IFERROR(J277/H277,0)</x:f>
        <x:v>0.1977077363896848</x:v>
      </x:c>
      <x:c r="L277" s="14" t="str">
        <x:f>IF(J277&gt;0,"Provisional positive contribution","Not viable")</x:f>
        <x:v>Provisional positive contribution</x:v>
      </x:c>
    </x:row>
    <x:row r="278">
      <x:c r="A278" s="14" t="str">
        <x:v>240gsm Oversized</x:v>
      </x:c>
      <x:c r="B278" s="14" t="n">
        <x:v>10</x:v>
      </x:c>
      <x:c r="C278" s="15" t="n">
        <x:v>649</x:v>
      </x:c>
      <x:c r="D278" s="15" t="n">
        <x:v>349</x:v>
      </x:c>
      <x:c r="E278" s="16" t="n">
        <x:v>0.3</x:v>
      </x:c>
      <x:c r="F278" s="15" t="n">
        <x:f>INDEX('Inputs'!$D$4:$D$6,MATCH(A278,'Inputs'!$A$4:$A$6,0))</x:f>
        <x:v>125</x:v>
      </x:c>
      <x:c r="G278" s="15" t="n">
        <x:f>INDEX('Inputs'!$E$4:$E$6,MATCH(A278,'Inputs'!$A$4:$A$6,0))</x:f>
        <x:v>85</x:v>
      </x:c>
      <x:c r="H278" s="15" t="n">
        <x:f>D278*(1-E278)</x:f>
        <x:v>244.29999999999998</x:v>
      </x:c>
      <x:c r="I278" s="15" t="n">
        <x:f>F278+G278</x:f>
        <x:v>210</x:v>
      </x:c>
      <x:c r="J278" s="15" t="n">
        <x:f>H278-I278</x:f>
        <x:v>34.29999999999998</x:v>
      </x:c>
      <x:c r="K278" s="16" t="n">
        <x:f>IFERROR(J278/H278,0)</x:f>
        <x:v>0.1404011461318051</x:v>
      </x:c>
      <x:c r="L278" s="14" t="str">
        <x:f>IF(J278&gt;0,"Provisional positive contribution","Not viable")</x:f>
        <x:v>Provisional positive contribution</x:v>
      </x:c>
    </x:row>
    <x:row r="279">
      <x:c r="A279" s="14" t="str">
        <x:v>240gsm Oversized</x:v>
      </x:c>
      <x:c r="B279" s="14" t="n">
        <x:v>10</x:v>
      </x:c>
      <x:c r="C279" s="15" t="n">
        <x:v>649</x:v>
      </x:c>
      <x:c r="D279" s="15" t="n">
        <x:v>349</x:v>
      </x:c>
      <x:c r="E279" s="16" t="n">
        <x:v>0.35</x:v>
      </x:c>
      <x:c r="F279" s="15" t="n">
        <x:f>INDEX('Inputs'!$D$4:$D$6,MATCH(A279,'Inputs'!$A$4:$A$6,0))</x:f>
        <x:v>125</x:v>
      </x:c>
      <x:c r="G279" s="15" t="n">
        <x:f>INDEX('Inputs'!$E$4:$E$6,MATCH(A279,'Inputs'!$A$4:$A$6,0))</x:f>
        <x:v>85</x:v>
      </x:c>
      <x:c r="H279" s="15" t="n">
        <x:f>D279*(1-E279)</x:f>
        <x:v>226.85</x:v>
      </x:c>
      <x:c r="I279" s="15" t="n">
        <x:f>F279+G279</x:f>
        <x:v>210</x:v>
      </x:c>
      <x:c r="J279" s="15" t="n">
        <x:f>H279-I279</x:f>
        <x:v>16.849999999999994</x:v>
      </x:c>
      <x:c r="K279" s="16" t="n">
        <x:f>IFERROR(J279/H279,0)</x:f>
        <x:v>0.07427815737271322</x:v>
      </x:c>
      <x:c r="L279" s="14" t="str">
        <x:f>IF(J279&gt;0,"Provisional positive contribution","Not viable")</x:f>
        <x:v>Provisional positive contribution</x:v>
      </x:c>
    </x:row>
    <x:row r="280">
      <x:c r="A280" s="14" t="str">
        <x:v>240gsm Oversized</x:v>
      </x:c>
      <x:c r="B280" s="14" t="n">
        <x:v>10</x:v>
      </x:c>
      <x:c r="C280" s="15" t="n">
        <x:v>649</x:v>
      </x:c>
      <x:c r="D280" s="15" t="n">
        <x:v>399</x:v>
      </x:c>
      <x:c r="E280" s="16" t="n">
        <x:v>0.2</x:v>
      </x:c>
      <x:c r="F280" s="15" t="n">
        <x:f>INDEX('Inputs'!$D$4:$D$6,MATCH(A280,'Inputs'!$A$4:$A$6,0))</x:f>
        <x:v>125</x:v>
      </x:c>
      <x:c r="G280" s="15" t="n">
        <x:f>INDEX('Inputs'!$E$4:$E$6,MATCH(A280,'Inputs'!$A$4:$A$6,0))</x:f>
        <x:v>85</x:v>
      </x:c>
      <x:c r="H280" s="15" t="n">
        <x:f>D280*(1-E280)</x:f>
        <x:v>319.20000000000005</x:v>
      </x:c>
      <x:c r="I280" s="15" t="n">
        <x:f>F280+G280</x:f>
        <x:v>210</x:v>
      </x:c>
      <x:c r="J280" s="15" t="n">
        <x:f>H280-I280</x:f>
        <x:v>109.20000000000005</x:v>
      </x:c>
      <x:c r="K280" s="16" t="n">
        <x:f>IFERROR(J280/H280,0)</x:f>
        <x:v>0.34210526315789486</x:v>
      </x:c>
      <x:c r="L280" s="14" t="str">
        <x:f>IF(J280&gt;0,"Provisional positive contribution","Not viable")</x:f>
        <x:v>Provisional positive contribution</x:v>
      </x:c>
    </x:row>
    <x:row r="281">
      <x:c r="A281" s="14" t="str">
        <x:v>240gsm Oversized</x:v>
      </x:c>
      <x:c r="B281" s="14" t="n">
        <x:v>10</x:v>
      </x:c>
      <x:c r="C281" s="15" t="n">
        <x:v>649</x:v>
      </x:c>
      <x:c r="D281" s="15" t="n">
        <x:v>399</x:v>
      </x:c>
      <x:c r="E281" s="16" t="n">
        <x:v>0.25</x:v>
      </x:c>
      <x:c r="F281" s="15" t="n">
        <x:f>INDEX('Inputs'!$D$4:$D$6,MATCH(A281,'Inputs'!$A$4:$A$6,0))</x:f>
        <x:v>125</x:v>
      </x:c>
      <x:c r="G281" s="15" t="n">
        <x:f>INDEX('Inputs'!$E$4:$E$6,MATCH(A281,'Inputs'!$A$4:$A$6,0))</x:f>
        <x:v>85</x:v>
      </x:c>
      <x:c r="H281" s="15" t="n">
        <x:f>D281*(1-E281)</x:f>
        <x:v>299.25</x:v>
      </x:c>
      <x:c r="I281" s="15" t="n">
        <x:f>F281+G281</x:f>
        <x:v>210</x:v>
      </x:c>
      <x:c r="J281" s="15" t="n">
        <x:f>H281-I281</x:f>
        <x:v>89.25</x:v>
      </x:c>
      <x:c r="K281" s="16" t="n">
        <x:f>IFERROR(J281/H281,0)</x:f>
        <x:v>0.2982456140350877</x:v>
      </x:c>
      <x:c r="L281" s="14" t="str">
        <x:f>IF(J281&gt;0,"Provisional positive contribution","Not viable")</x:f>
        <x:v>Provisional positive contribution</x:v>
      </x:c>
    </x:row>
    <x:row r="282">
      <x:c r="A282" s="14" t="str">
        <x:v>240gsm Oversized</x:v>
      </x:c>
      <x:c r="B282" s="14" t="n">
        <x:v>10</x:v>
      </x:c>
      <x:c r="C282" s="15" t="n">
        <x:v>649</x:v>
      </x:c>
      <x:c r="D282" s="15" t="n">
        <x:v>399</x:v>
      </x:c>
      <x:c r="E282" s="16" t="n">
        <x:v>0.3</x:v>
      </x:c>
      <x:c r="F282" s="15" t="n">
        <x:f>INDEX('Inputs'!$D$4:$D$6,MATCH(A282,'Inputs'!$A$4:$A$6,0))</x:f>
        <x:v>125</x:v>
      </x:c>
      <x:c r="G282" s="15" t="n">
        <x:f>INDEX('Inputs'!$E$4:$E$6,MATCH(A282,'Inputs'!$A$4:$A$6,0))</x:f>
        <x:v>85</x:v>
      </x:c>
      <x:c r="H282" s="15" t="n">
        <x:f>D282*(1-E282)</x:f>
        <x:v>279.29999999999995</x:v>
      </x:c>
      <x:c r="I282" s="15" t="n">
        <x:f>F282+G282</x:f>
        <x:v>210</x:v>
      </x:c>
      <x:c r="J282" s="15" t="n">
        <x:f>H282-I282</x:f>
        <x:v>69.29999999999995</x:v>
      </x:c>
      <x:c r="K282" s="16" t="n">
        <x:f>IFERROR(J282/H282,0)</x:f>
        <x:v>0.24812030075187957</x:v>
      </x:c>
      <x:c r="L282" s="14" t="str">
        <x:f>IF(J282&gt;0,"Provisional positive contribution","Not viable")</x:f>
        <x:v>Provisional positive contribution</x:v>
      </x:c>
    </x:row>
    <x:row r="283">
      <x:c r="A283" s="14" t="str">
        <x:v>240gsm Oversized</x:v>
      </x:c>
      <x:c r="B283" s="14" t="n">
        <x:v>10</x:v>
      </x:c>
      <x:c r="C283" s="15" t="n">
        <x:v>649</x:v>
      </x:c>
      <x:c r="D283" s="15" t="n">
        <x:v>399</x:v>
      </x:c>
      <x:c r="E283" s="16" t="n">
        <x:v>0.35</x:v>
      </x:c>
      <x:c r="F283" s="15" t="n">
        <x:f>INDEX('Inputs'!$D$4:$D$6,MATCH(A283,'Inputs'!$A$4:$A$6,0))</x:f>
        <x:v>125</x:v>
      </x:c>
      <x:c r="G283" s="15" t="n">
        <x:f>INDEX('Inputs'!$E$4:$E$6,MATCH(A283,'Inputs'!$A$4:$A$6,0))</x:f>
        <x:v>85</x:v>
      </x:c>
      <x:c r="H283" s="15" t="n">
        <x:f>D283*(1-E283)</x:f>
        <x:v>259.35</x:v>
      </x:c>
      <x:c r="I283" s="15" t="n">
        <x:f>F283+G283</x:f>
        <x:v>210</x:v>
      </x:c>
      <x:c r="J283" s="15" t="n">
        <x:f>H283-I283</x:f>
        <x:v>49.35000000000002</x:v>
      </x:c>
      <x:c r="K283" s="16" t="n">
        <x:f>IFERROR(J283/H283,0)</x:f>
        <x:v>0.19028340080971667</x:v>
      </x:c>
      <x:c r="L283" s="14" t="str">
        <x:f>IF(J283&gt;0,"Provisional positive contribution","Not viable")</x:f>
        <x:v>Provisional positive contribution</x:v>
      </x:c>
    </x:row>
    <x:row r="284">
      <x:c r="A284" s="14" t="str">
        <x:v>240gsm Oversized</x:v>
      </x:c>
      <x:c r="B284" s="14" t="n">
        <x:v>10</x:v>
      </x:c>
      <x:c r="C284" s="15" t="n">
        <x:v>649</x:v>
      </x:c>
      <x:c r="D284" s="15" t="n">
        <x:v>449</x:v>
      </x:c>
      <x:c r="E284" s="16" t="n">
        <x:v>0.2</x:v>
      </x:c>
      <x:c r="F284" s="15" t="n">
        <x:f>INDEX('Inputs'!$D$4:$D$6,MATCH(A284,'Inputs'!$A$4:$A$6,0))</x:f>
        <x:v>125</x:v>
      </x:c>
      <x:c r="G284" s="15" t="n">
        <x:f>INDEX('Inputs'!$E$4:$E$6,MATCH(A284,'Inputs'!$A$4:$A$6,0))</x:f>
        <x:v>85</x:v>
      </x:c>
      <x:c r="H284" s="15" t="n">
        <x:f>D284*(1-E284)</x:f>
        <x:v>359.20000000000005</x:v>
      </x:c>
      <x:c r="I284" s="15" t="n">
        <x:f>F284+G284</x:f>
        <x:v>210</x:v>
      </x:c>
      <x:c r="J284" s="15" t="n">
        <x:f>H284-I284</x:f>
        <x:v>149.20000000000005</x:v>
      </x:c>
      <x:c r="K284" s="16" t="n">
        <x:f>IFERROR(J284/H284,0)</x:f>
        <x:v>0.41536748329621387</x:v>
      </x:c>
      <x:c r="L284" s="14" t="str">
        <x:f>IF(J284&gt;0,"Provisional positive contribution","Not viable")</x:f>
        <x:v>Provisional positive contribution</x:v>
      </x:c>
    </x:row>
    <x:row r="285">
      <x:c r="A285" s="14" t="str">
        <x:v>240gsm Oversized</x:v>
      </x:c>
      <x:c r="B285" s="14" t="n">
        <x:v>10</x:v>
      </x:c>
      <x:c r="C285" s="15" t="n">
        <x:v>649</x:v>
      </x:c>
      <x:c r="D285" s="15" t="n">
        <x:v>449</x:v>
      </x:c>
      <x:c r="E285" s="16" t="n">
        <x:v>0.25</x:v>
      </x:c>
      <x:c r="F285" s="15" t="n">
        <x:f>INDEX('Inputs'!$D$4:$D$6,MATCH(A285,'Inputs'!$A$4:$A$6,0))</x:f>
        <x:v>125</x:v>
      </x:c>
      <x:c r="G285" s="15" t="n">
        <x:f>INDEX('Inputs'!$E$4:$E$6,MATCH(A285,'Inputs'!$A$4:$A$6,0))</x:f>
        <x:v>85</x:v>
      </x:c>
      <x:c r="H285" s="15" t="n">
        <x:f>D285*(1-E285)</x:f>
        <x:v>336.75</x:v>
      </x:c>
      <x:c r="I285" s="15" t="n">
        <x:f>F285+G285</x:f>
        <x:v>210</x:v>
      </x:c>
      <x:c r="J285" s="15" t="n">
        <x:f>H285-I285</x:f>
        <x:v>126.75</x:v>
      </x:c>
      <x:c r="K285" s="16" t="n">
        <x:f>IFERROR(J285/H285,0)</x:f>
        <x:v>0.37639198218262804</x:v>
      </x:c>
      <x:c r="L285" s="14" t="str">
        <x:f>IF(J285&gt;0,"Provisional positive contribution","Not viable")</x:f>
        <x:v>Provisional positive contribution</x:v>
      </x:c>
    </x:row>
    <x:row r="286">
      <x:c r="A286" s="14" t="str">
        <x:v>240gsm Oversized</x:v>
      </x:c>
      <x:c r="B286" s="14" t="n">
        <x:v>10</x:v>
      </x:c>
      <x:c r="C286" s="15" t="n">
        <x:v>649</x:v>
      </x:c>
      <x:c r="D286" s="15" t="n">
        <x:v>449</x:v>
      </x:c>
      <x:c r="E286" s="16" t="n">
        <x:v>0.3</x:v>
      </x:c>
      <x:c r="F286" s="15" t="n">
        <x:f>INDEX('Inputs'!$D$4:$D$6,MATCH(A286,'Inputs'!$A$4:$A$6,0))</x:f>
        <x:v>125</x:v>
      </x:c>
      <x:c r="G286" s="15" t="n">
        <x:f>INDEX('Inputs'!$E$4:$E$6,MATCH(A286,'Inputs'!$A$4:$A$6,0))</x:f>
        <x:v>85</x:v>
      </x:c>
      <x:c r="H286" s="15" t="n">
        <x:f>D286*(1-E286)</x:f>
        <x:v>314.29999999999995</x:v>
      </x:c>
      <x:c r="I286" s="15" t="n">
        <x:f>F286+G286</x:f>
        <x:v>210</x:v>
      </x:c>
      <x:c r="J286" s="15" t="n">
        <x:f>H286-I286</x:f>
        <x:v>104.29999999999995</x:v>
      </x:c>
      <x:c r="K286" s="16" t="n">
        <x:f>IFERROR(J286/H286,0)</x:f>
        <x:v>0.33184855233852995</x:v>
      </x:c>
      <x:c r="L286" s="14" t="str">
        <x:f>IF(J286&gt;0,"Provisional positive contribution","Not viable")</x:f>
        <x:v>Provisional positive contribution</x:v>
      </x:c>
    </x:row>
    <x:row r="287">
      <x:c r="A287" s="14" t="str">
        <x:v>240gsm Oversized</x:v>
      </x:c>
      <x:c r="B287" s="14" t="n">
        <x:v>10</x:v>
      </x:c>
      <x:c r="C287" s="15" t="n">
        <x:v>649</x:v>
      </x:c>
      <x:c r="D287" s="15" t="n">
        <x:v>449</x:v>
      </x:c>
      <x:c r="E287" s="16" t="n">
        <x:v>0.35</x:v>
      </x:c>
      <x:c r="F287" s="15" t="n">
        <x:f>INDEX('Inputs'!$D$4:$D$6,MATCH(A287,'Inputs'!$A$4:$A$6,0))</x:f>
        <x:v>125</x:v>
      </x:c>
      <x:c r="G287" s="15" t="n">
        <x:f>INDEX('Inputs'!$E$4:$E$6,MATCH(A287,'Inputs'!$A$4:$A$6,0))</x:f>
        <x:v>85</x:v>
      </x:c>
      <x:c r="H287" s="15" t="n">
        <x:f>D287*(1-E287)</x:f>
        <x:v>291.85</x:v>
      </x:c>
      <x:c r="I287" s="15" t="n">
        <x:f>F287+G287</x:f>
        <x:v>210</x:v>
      </x:c>
      <x:c r="J287" s="15" t="n">
        <x:f>H287-I287</x:f>
        <x:v>81.85000000000002</x:v>
      </x:c>
      <x:c r="K287" s="16" t="n">
        <x:f>IFERROR(J287/H287,0)</x:f>
        <x:v>0.28045228713380166</x:v>
      </x:c>
      <x:c r="L287" s="14" t="str">
        <x:f>IF(J287&gt;0,"Provisional positive contribution","Not viable")</x:f>
        <x:v>Provisional positive contribution</x:v>
      </x:c>
    </x:row>
    <x:row r="288">
      <x:c r="A288" s="14" t="str">
        <x:v>240gsm Oversized</x:v>
      </x:c>
      <x:c r="B288" s="14" t="n">
        <x:v>10</x:v>
      </x:c>
      <x:c r="C288" s="15" t="n">
        <x:v>649</x:v>
      </x:c>
      <x:c r="D288" s="15" t="n">
        <x:v>499</x:v>
      </x:c>
      <x:c r="E288" s="16" t="n">
        <x:v>0.2</x:v>
      </x:c>
      <x:c r="F288" s="15" t="n">
        <x:f>INDEX('Inputs'!$D$4:$D$6,MATCH(A288,'Inputs'!$A$4:$A$6,0))</x:f>
        <x:v>125</x:v>
      </x:c>
      <x:c r="G288" s="15" t="n">
        <x:f>INDEX('Inputs'!$E$4:$E$6,MATCH(A288,'Inputs'!$A$4:$A$6,0))</x:f>
        <x:v>85</x:v>
      </x:c>
      <x:c r="H288" s="15" t="n">
        <x:f>D288*(1-E288)</x:f>
        <x:v>399.20000000000005</x:v>
      </x:c>
      <x:c r="I288" s="15" t="n">
        <x:f>F288+G288</x:f>
        <x:v>210</x:v>
      </x:c>
      <x:c r="J288" s="15" t="n">
        <x:f>H288-I288</x:f>
        <x:v>189.20000000000005</x:v>
      </x:c>
      <x:c r="K288" s="16" t="n">
        <x:f>IFERROR(J288/H288,0)</x:f>
        <x:v>0.47394789579158325</x:v>
      </x:c>
      <x:c r="L288" s="14" t="str">
        <x:f>IF(J288&gt;0,"Provisional positive contribution","Not viable")</x:f>
        <x:v>Provisional positive contribution</x:v>
      </x:c>
    </x:row>
    <x:row r="289">
      <x:c r="A289" s="14" t="str">
        <x:v>240gsm Oversized</x:v>
      </x:c>
      <x:c r="B289" s="14" t="n">
        <x:v>10</x:v>
      </x:c>
      <x:c r="C289" s="15" t="n">
        <x:v>649</x:v>
      </x:c>
      <x:c r="D289" s="15" t="n">
        <x:v>499</x:v>
      </x:c>
      <x:c r="E289" s="16" t="n">
        <x:v>0.25</x:v>
      </x:c>
      <x:c r="F289" s="15" t="n">
        <x:f>INDEX('Inputs'!$D$4:$D$6,MATCH(A289,'Inputs'!$A$4:$A$6,0))</x:f>
        <x:v>125</x:v>
      </x:c>
      <x:c r="G289" s="15" t="n">
        <x:f>INDEX('Inputs'!$E$4:$E$6,MATCH(A289,'Inputs'!$A$4:$A$6,0))</x:f>
        <x:v>85</x:v>
      </x:c>
      <x:c r="H289" s="15" t="n">
        <x:f>D289*(1-E289)</x:f>
        <x:v>374.25</x:v>
      </x:c>
      <x:c r="I289" s="15" t="n">
        <x:f>F289+G289</x:f>
        <x:v>210</x:v>
      </x:c>
      <x:c r="J289" s="15" t="n">
        <x:f>H289-I289</x:f>
        <x:v>164.25</x:v>
      </x:c>
      <x:c r="K289" s="16" t="n">
        <x:f>IFERROR(J289/H289,0)</x:f>
        <x:v>0.43887775551102204</x:v>
      </x:c>
      <x:c r="L289" s="14" t="str">
        <x:f>IF(J289&gt;0,"Provisional positive contribution","Not viable")</x:f>
        <x:v>Provisional positive contribution</x:v>
      </x:c>
    </x:row>
    <x:row r="290">
      <x:c r="A290" s="14" t="str">
        <x:v>240gsm Oversized</x:v>
      </x:c>
      <x:c r="B290" s="14" t="n">
        <x:v>10</x:v>
      </x:c>
      <x:c r="C290" s="15" t="n">
        <x:v>649</x:v>
      </x:c>
      <x:c r="D290" s="15" t="n">
        <x:v>499</x:v>
      </x:c>
      <x:c r="E290" s="16" t="n">
        <x:v>0.3</x:v>
      </x:c>
      <x:c r="F290" s="15" t="n">
        <x:f>INDEX('Inputs'!$D$4:$D$6,MATCH(A290,'Inputs'!$A$4:$A$6,0))</x:f>
        <x:v>125</x:v>
      </x:c>
      <x:c r="G290" s="15" t="n">
        <x:f>INDEX('Inputs'!$E$4:$E$6,MATCH(A290,'Inputs'!$A$4:$A$6,0))</x:f>
        <x:v>85</x:v>
      </x:c>
      <x:c r="H290" s="15" t="n">
        <x:f>D290*(1-E290)</x:f>
        <x:v>349.29999999999995</x:v>
      </x:c>
      <x:c r="I290" s="15" t="n">
        <x:f>F290+G290</x:f>
        <x:v>210</x:v>
      </x:c>
      <x:c r="J290" s="15" t="n">
        <x:f>H290-I290</x:f>
        <x:v>139.29999999999995</x:v>
      </x:c>
      <x:c r="K290" s="16" t="n">
        <x:f>IFERROR(J290/H290,0)</x:f>
        <x:v>0.39879759519038066</x:v>
      </x:c>
      <x:c r="L290" s="14" t="str">
        <x:f>IF(J290&gt;0,"Provisional positive contribution","Not viable")</x:f>
        <x:v>Provisional positive contribution</x:v>
      </x:c>
    </x:row>
    <x:row r="291">
      <x:c r="A291" s="14" t="str">
        <x:v>240gsm Oversized</x:v>
      </x:c>
      <x:c r="B291" s="14" t="n">
        <x:v>10</x:v>
      </x:c>
      <x:c r="C291" s="15" t="n">
        <x:v>649</x:v>
      </x:c>
      <x:c r="D291" s="15" t="n">
        <x:v>499</x:v>
      </x:c>
      <x:c r="E291" s="16" t="n">
        <x:v>0.35</x:v>
      </x:c>
      <x:c r="F291" s="15" t="n">
        <x:f>INDEX('Inputs'!$D$4:$D$6,MATCH(A291,'Inputs'!$A$4:$A$6,0))</x:f>
        <x:v>125</x:v>
      </x:c>
      <x:c r="G291" s="15" t="n">
        <x:f>INDEX('Inputs'!$E$4:$E$6,MATCH(A291,'Inputs'!$A$4:$A$6,0))</x:f>
        <x:v>85</x:v>
      </x:c>
      <x:c r="H291" s="15" t="n">
        <x:f>D291*(1-E291)</x:f>
        <x:v>324.35</x:v>
      </x:c>
      <x:c r="I291" s="15" t="n">
        <x:f>F291+G291</x:f>
        <x:v>210</x:v>
      </x:c>
      <x:c r="J291" s="15" t="n">
        <x:f>H291-I291</x:f>
        <x:v>114.35000000000002</x:v>
      </x:c>
      <x:c r="K291" s="16" t="n">
        <x:f>IFERROR(J291/H291,0)</x:f>
        <x:v>0.35255125635887163</x:v>
      </x:c>
      <x:c r="L291" s="14" t="str">
        <x:f>IF(J291&gt;0,"Provisional positive contribution","Not viable")</x:f>
        <x:v>Provisional positive contribution</x:v>
      </x:c>
    </x:row>
    <x:row r="292">
      <x:c r="A292" s="14" t="str">
        <x:v>240gsm Oversized</x:v>
      </x:c>
      <x:c r="B292" s="14" t="n">
        <x:v>10</x:v>
      </x:c>
      <x:c r="C292" s="15" t="n">
        <x:v>699</x:v>
      </x:c>
      <x:c r="D292" s="15" t="n">
        <x:v>349</x:v>
      </x:c>
      <x:c r="E292" s="16" t="n">
        <x:v>0.2</x:v>
      </x:c>
      <x:c r="F292" s="15" t="n">
        <x:f>INDEX('Inputs'!$D$4:$D$6,MATCH(A292,'Inputs'!$A$4:$A$6,0))</x:f>
        <x:v>125</x:v>
      </x:c>
      <x:c r="G292" s="15" t="n">
        <x:f>INDEX('Inputs'!$E$4:$E$6,MATCH(A292,'Inputs'!$A$4:$A$6,0))</x:f>
        <x:v>85</x:v>
      </x:c>
      <x:c r="H292" s="15" t="n">
        <x:f>D292*(1-E292)</x:f>
        <x:v>279.2</x:v>
      </x:c>
      <x:c r="I292" s="15" t="n">
        <x:f>F292+G292</x:f>
        <x:v>210</x:v>
      </x:c>
      <x:c r="J292" s="15" t="n">
        <x:f>H292-I292</x:f>
        <x:v>69.19999999999999</x:v>
      </x:c>
      <x:c r="K292" s="16" t="n">
        <x:f>IFERROR(J292/H292,0)</x:f>
        <x:v>0.2478510028653295</x:v>
      </x:c>
      <x:c r="L292" s="14" t="str">
        <x:f>IF(J292&gt;0,"Provisional positive contribution","Not viable")</x:f>
        <x:v>Provisional positive contribution</x:v>
      </x:c>
    </x:row>
    <x:row r="293">
      <x:c r="A293" s="14" t="str">
        <x:v>240gsm Oversized</x:v>
      </x:c>
      <x:c r="B293" s="14" t="n">
        <x:v>10</x:v>
      </x:c>
      <x:c r="C293" s="15" t="n">
        <x:v>699</x:v>
      </x:c>
      <x:c r="D293" s="15" t="n">
        <x:v>349</x:v>
      </x:c>
      <x:c r="E293" s="16" t="n">
        <x:v>0.25</x:v>
      </x:c>
      <x:c r="F293" s="15" t="n">
        <x:f>INDEX('Inputs'!$D$4:$D$6,MATCH(A293,'Inputs'!$A$4:$A$6,0))</x:f>
        <x:v>125</x:v>
      </x:c>
      <x:c r="G293" s="15" t="n">
        <x:f>INDEX('Inputs'!$E$4:$E$6,MATCH(A293,'Inputs'!$A$4:$A$6,0))</x:f>
        <x:v>85</x:v>
      </x:c>
      <x:c r="H293" s="15" t="n">
        <x:f>D293*(1-E293)</x:f>
        <x:v>261.75</x:v>
      </x:c>
      <x:c r="I293" s="15" t="n">
        <x:f>F293+G293</x:f>
        <x:v>210</x:v>
      </x:c>
      <x:c r="J293" s="15" t="n">
        <x:f>H293-I293</x:f>
        <x:v>51.75</x:v>
      </x:c>
      <x:c r="K293" s="16" t="n">
        <x:f>IFERROR(J293/H293,0)</x:f>
        <x:v>0.1977077363896848</x:v>
      </x:c>
      <x:c r="L293" s="14" t="str">
        <x:f>IF(J293&gt;0,"Provisional positive contribution","Not viable")</x:f>
        <x:v>Provisional positive contribution</x:v>
      </x:c>
    </x:row>
    <x:row r="294">
      <x:c r="A294" s="14" t="str">
        <x:v>240gsm Oversized</x:v>
      </x:c>
      <x:c r="B294" s="14" t="n">
        <x:v>10</x:v>
      </x:c>
      <x:c r="C294" s="15" t="n">
        <x:v>699</x:v>
      </x:c>
      <x:c r="D294" s="15" t="n">
        <x:v>349</x:v>
      </x:c>
      <x:c r="E294" s="16" t="n">
        <x:v>0.3</x:v>
      </x:c>
      <x:c r="F294" s="15" t="n">
        <x:f>INDEX('Inputs'!$D$4:$D$6,MATCH(A294,'Inputs'!$A$4:$A$6,0))</x:f>
        <x:v>125</x:v>
      </x:c>
      <x:c r="G294" s="15" t="n">
        <x:f>INDEX('Inputs'!$E$4:$E$6,MATCH(A294,'Inputs'!$A$4:$A$6,0))</x:f>
        <x:v>85</x:v>
      </x:c>
      <x:c r="H294" s="15" t="n">
        <x:f>D294*(1-E294)</x:f>
        <x:v>244.29999999999998</x:v>
      </x:c>
      <x:c r="I294" s="15" t="n">
        <x:f>F294+G294</x:f>
        <x:v>210</x:v>
      </x:c>
      <x:c r="J294" s="15" t="n">
        <x:f>H294-I294</x:f>
        <x:v>34.29999999999998</x:v>
      </x:c>
      <x:c r="K294" s="16" t="n">
        <x:f>IFERROR(J294/H294,0)</x:f>
        <x:v>0.1404011461318051</x:v>
      </x:c>
      <x:c r="L294" s="14" t="str">
        <x:f>IF(J294&gt;0,"Provisional positive contribution","Not viable")</x:f>
        <x:v>Provisional positive contribution</x:v>
      </x:c>
    </x:row>
    <x:row r="295">
      <x:c r="A295" s="14" t="str">
        <x:v>240gsm Oversized</x:v>
      </x:c>
      <x:c r="B295" s="14" t="n">
        <x:v>10</x:v>
      </x:c>
      <x:c r="C295" s="15" t="n">
        <x:v>699</x:v>
      </x:c>
      <x:c r="D295" s="15" t="n">
        <x:v>349</x:v>
      </x:c>
      <x:c r="E295" s="16" t="n">
        <x:v>0.35</x:v>
      </x:c>
      <x:c r="F295" s="15" t="n">
        <x:f>INDEX('Inputs'!$D$4:$D$6,MATCH(A295,'Inputs'!$A$4:$A$6,0))</x:f>
        <x:v>125</x:v>
      </x:c>
      <x:c r="G295" s="15" t="n">
        <x:f>INDEX('Inputs'!$E$4:$E$6,MATCH(A295,'Inputs'!$A$4:$A$6,0))</x:f>
        <x:v>85</x:v>
      </x:c>
      <x:c r="H295" s="15" t="n">
        <x:f>D295*(1-E295)</x:f>
        <x:v>226.85</x:v>
      </x:c>
      <x:c r="I295" s="15" t="n">
        <x:f>F295+G295</x:f>
        <x:v>210</x:v>
      </x:c>
      <x:c r="J295" s="15" t="n">
        <x:f>H295-I295</x:f>
        <x:v>16.849999999999994</x:v>
      </x:c>
      <x:c r="K295" s="16" t="n">
        <x:f>IFERROR(J295/H295,0)</x:f>
        <x:v>0.07427815737271322</x:v>
      </x:c>
      <x:c r="L295" s="14" t="str">
        <x:f>IF(J295&gt;0,"Provisional positive contribution","Not viable")</x:f>
        <x:v>Provisional positive contribution</x:v>
      </x:c>
    </x:row>
    <x:row r="296">
      <x:c r="A296" s="14" t="str">
        <x:v>240gsm Oversized</x:v>
      </x:c>
      <x:c r="B296" s="14" t="n">
        <x:v>10</x:v>
      </x:c>
      <x:c r="C296" s="15" t="n">
        <x:v>699</x:v>
      </x:c>
      <x:c r="D296" s="15" t="n">
        <x:v>399</x:v>
      </x:c>
      <x:c r="E296" s="16" t="n">
        <x:v>0.2</x:v>
      </x:c>
      <x:c r="F296" s="15" t="n">
        <x:f>INDEX('Inputs'!$D$4:$D$6,MATCH(A296,'Inputs'!$A$4:$A$6,0))</x:f>
        <x:v>125</x:v>
      </x:c>
      <x:c r="G296" s="15" t="n">
        <x:f>INDEX('Inputs'!$E$4:$E$6,MATCH(A296,'Inputs'!$A$4:$A$6,0))</x:f>
        <x:v>85</x:v>
      </x:c>
      <x:c r="H296" s="15" t="n">
        <x:f>D296*(1-E296)</x:f>
        <x:v>319.20000000000005</x:v>
      </x:c>
      <x:c r="I296" s="15" t="n">
        <x:f>F296+G296</x:f>
        <x:v>210</x:v>
      </x:c>
      <x:c r="J296" s="15" t="n">
        <x:f>H296-I296</x:f>
        <x:v>109.20000000000005</x:v>
      </x:c>
      <x:c r="K296" s="16" t="n">
        <x:f>IFERROR(J296/H296,0)</x:f>
        <x:v>0.34210526315789486</x:v>
      </x:c>
      <x:c r="L296" s="14" t="str">
        <x:f>IF(J296&gt;0,"Provisional positive contribution","Not viable")</x:f>
        <x:v>Provisional positive contribution</x:v>
      </x:c>
    </x:row>
    <x:row r="297">
      <x:c r="A297" s="14" t="str">
        <x:v>240gsm Oversized</x:v>
      </x:c>
      <x:c r="B297" s="14" t="n">
        <x:v>10</x:v>
      </x:c>
      <x:c r="C297" s="15" t="n">
        <x:v>699</x:v>
      </x:c>
      <x:c r="D297" s="15" t="n">
        <x:v>399</x:v>
      </x:c>
      <x:c r="E297" s="16" t="n">
        <x:v>0.25</x:v>
      </x:c>
      <x:c r="F297" s="15" t="n">
        <x:f>INDEX('Inputs'!$D$4:$D$6,MATCH(A297,'Inputs'!$A$4:$A$6,0))</x:f>
        <x:v>125</x:v>
      </x:c>
      <x:c r="G297" s="15" t="n">
        <x:f>INDEX('Inputs'!$E$4:$E$6,MATCH(A297,'Inputs'!$A$4:$A$6,0))</x:f>
        <x:v>85</x:v>
      </x:c>
      <x:c r="H297" s="15" t="n">
        <x:f>D297*(1-E297)</x:f>
        <x:v>299.25</x:v>
      </x:c>
      <x:c r="I297" s="15" t="n">
        <x:f>F297+G297</x:f>
        <x:v>210</x:v>
      </x:c>
      <x:c r="J297" s="15" t="n">
        <x:f>H297-I297</x:f>
        <x:v>89.25</x:v>
      </x:c>
      <x:c r="K297" s="16" t="n">
        <x:f>IFERROR(J297/H297,0)</x:f>
        <x:v>0.2982456140350877</x:v>
      </x:c>
      <x:c r="L297" s="14" t="str">
        <x:f>IF(J297&gt;0,"Provisional positive contribution","Not viable")</x:f>
        <x:v>Provisional positive contribution</x:v>
      </x:c>
    </x:row>
    <x:row r="298">
      <x:c r="A298" s="14" t="str">
        <x:v>240gsm Oversized</x:v>
      </x:c>
      <x:c r="B298" s="14" t="n">
        <x:v>10</x:v>
      </x:c>
      <x:c r="C298" s="15" t="n">
        <x:v>699</x:v>
      </x:c>
      <x:c r="D298" s="15" t="n">
        <x:v>399</x:v>
      </x:c>
      <x:c r="E298" s="16" t="n">
        <x:v>0.3</x:v>
      </x:c>
      <x:c r="F298" s="15" t="n">
        <x:f>INDEX('Inputs'!$D$4:$D$6,MATCH(A298,'Inputs'!$A$4:$A$6,0))</x:f>
        <x:v>125</x:v>
      </x:c>
      <x:c r="G298" s="15" t="n">
        <x:f>INDEX('Inputs'!$E$4:$E$6,MATCH(A298,'Inputs'!$A$4:$A$6,0))</x:f>
        <x:v>85</x:v>
      </x:c>
      <x:c r="H298" s="15" t="n">
        <x:f>D298*(1-E298)</x:f>
        <x:v>279.29999999999995</x:v>
      </x:c>
      <x:c r="I298" s="15" t="n">
        <x:f>F298+G298</x:f>
        <x:v>210</x:v>
      </x:c>
      <x:c r="J298" s="15" t="n">
        <x:f>H298-I298</x:f>
        <x:v>69.29999999999995</x:v>
      </x:c>
      <x:c r="K298" s="16" t="n">
        <x:f>IFERROR(J298/H298,0)</x:f>
        <x:v>0.24812030075187957</x:v>
      </x:c>
      <x:c r="L298" s="14" t="str">
        <x:f>IF(J298&gt;0,"Provisional positive contribution","Not viable")</x:f>
        <x:v>Provisional positive contribution</x:v>
      </x:c>
    </x:row>
    <x:row r="299">
      <x:c r="A299" s="14" t="str">
        <x:v>240gsm Oversized</x:v>
      </x:c>
      <x:c r="B299" s="14" t="n">
        <x:v>10</x:v>
      </x:c>
      <x:c r="C299" s="15" t="n">
        <x:v>699</x:v>
      </x:c>
      <x:c r="D299" s="15" t="n">
        <x:v>399</x:v>
      </x:c>
      <x:c r="E299" s="16" t="n">
        <x:v>0.35</x:v>
      </x:c>
      <x:c r="F299" s="15" t="n">
        <x:f>INDEX('Inputs'!$D$4:$D$6,MATCH(A299,'Inputs'!$A$4:$A$6,0))</x:f>
        <x:v>125</x:v>
      </x:c>
      <x:c r="G299" s="15" t="n">
        <x:f>INDEX('Inputs'!$E$4:$E$6,MATCH(A299,'Inputs'!$A$4:$A$6,0))</x:f>
        <x:v>85</x:v>
      </x:c>
      <x:c r="H299" s="15" t="n">
        <x:f>D299*(1-E299)</x:f>
        <x:v>259.35</x:v>
      </x:c>
      <x:c r="I299" s="15" t="n">
        <x:f>F299+G299</x:f>
        <x:v>210</x:v>
      </x:c>
      <x:c r="J299" s="15" t="n">
        <x:f>H299-I299</x:f>
        <x:v>49.35000000000002</x:v>
      </x:c>
      <x:c r="K299" s="16" t="n">
        <x:f>IFERROR(J299/H299,0)</x:f>
        <x:v>0.19028340080971667</x:v>
      </x:c>
      <x:c r="L299" s="14" t="str">
        <x:f>IF(J299&gt;0,"Provisional positive contribution","Not viable")</x:f>
        <x:v>Provisional positive contribution</x:v>
      </x:c>
    </x:row>
    <x:row r="300">
      <x:c r="A300" s="14" t="str">
        <x:v>240gsm Oversized</x:v>
      </x:c>
      <x:c r="B300" s="14" t="n">
        <x:v>10</x:v>
      </x:c>
      <x:c r="C300" s="15" t="n">
        <x:v>699</x:v>
      </x:c>
      <x:c r="D300" s="15" t="n">
        <x:v>449</x:v>
      </x:c>
      <x:c r="E300" s="16" t="n">
        <x:v>0.2</x:v>
      </x:c>
      <x:c r="F300" s="15" t="n">
        <x:f>INDEX('Inputs'!$D$4:$D$6,MATCH(A300,'Inputs'!$A$4:$A$6,0))</x:f>
        <x:v>125</x:v>
      </x:c>
      <x:c r="G300" s="15" t="n">
        <x:f>INDEX('Inputs'!$E$4:$E$6,MATCH(A300,'Inputs'!$A$4:$A$6,0))</x:f>
        <x:v>85</x:v>
      </x:c>
      <x:c r="H300" s="15" t="n">
        <x:f>D300*(1-E300)</x:f>
        <x:v>359.20000000000005</x:v>
      </x:c>
      <x:c r="I300" s="15" t="n">
        <x:f>F300+G300</x:f>
        <x:v>210</x:v>
      </x:c>
      <x:c r="J300" s="15" t="n">
        <x:f>H300-I300</x:f>
        <x:v>149.20000000000005</x:v>
      </x:c>
      <x:c r="K300" s="16" t="n">
        <x:f>IFERROR(J300/H300,0)</x:f>
        <x:v>0.41536748329621387</x:v>
      </x:c>
      <x:c r="L300" s="14" t="str">
        <x:f>IF(J300&gt;0,"Provisional positive contribution","Not viable")</x:f>
        <x:v>Provisional positive contribution</x:v>
      </x:c>
    </x:row>
    <x:row r="301">
      <x:c r="A301" s="14" t="str">
        <x:v>240gsm Oversized</x:v>
      </x:c>
      <x:c r="B301" s="14" t="n">
        <x:v>10</x:v>
      </x:c>
      <x:c r="C301" s="15" t="n">
        <x:v>699</x:v>
      </x:c>
      <x:c r="D301" s="15" t="n">
        <x:v>449</x:v>
      </x:c>
      <x:c r="E301" s="16" t="n">
        <x:v>0.25</x:v>
      </x:c>
      <x:c r="F301" s="15" t="n">
        <x:f>INDEX('Inputs'!$D$4:$D$6,MATCH(A301,'Inputs'!$A$4:$A$6,0))</x:f>
        <x:v>125</x:v>
      </x:c>
      <x:c r="G301" s="15" t="n">
        <x:f>INDEX('Inputs'!$E$4:$E$6,MATCH(A301,'Inputs'!$A$4:$A$6,0))</x:f>
        <x:v>85</x:v>
      </x:c>
      <x:c r="H301" s="15" t="n">
        <x:f>D301*(1-E301)</x:f>
        <x:v>336.75</x:v>
      </x:c>
      <x:c r="I301" s="15" t="n">
        <x:f>F301+G301</x:f>
        <x:v>210</x:v>
      </x:c>
      <x:c r="J301" s="15" t="n">
        <x:f>H301-I301</x:f>
        <x:v>126.75</x:v>
      </x:c>
      <x:c r="K301" s="16" t="n">
        <x:f>IFERROR(J301/H301,0)</x:f>
        <x:v>0.37639198218262804</x:v>
      </x:c>
      <x:c r="L301" s="14" t="str">
        <x:f>IF(J301&gt;0,"Provisional positive contribution","Not viable")</x:f>
        <x:v>Provisional positive contribution</x:v>
      </x:c>
    </x:row>
    <x:row r="302">
      <x:c r="A302" s="14" t="str">
        <x:v>240gsm Oversized</x:v>
      </x:c>
      <x:c r="B302" s="14" t="n">
        <x:v>10</x:v>
      </x:c>
      <x:c r="C302" s="15" t="n">
        <x:v>699</x:v>
      </x:c>
      <x:c r="D302" s="15" t="n">
        <x:v>449</x:v>
      </x:c>
      <x:c r="E302" s="16" t="n">
        <x:v>0.3</x:v>
      </x:c>
      <x:c r="F302" s="15" t="n">
        <x:f>INDEX('Inputs'!$D$4:$D$6,MATCH(A302,'Inputs'!$A$4:$A$6,0))</x:f>
        <x:v>125</x:v>
      </x:c>
      <x:c r="G302" s="15" t="n">
        <x:f>INDEX('Inputs'!$E$4:$E$6,MATCH(A302,'Inputs'!$A$4:$A$6,0))</x:f>
        <x:v>85</x:v>
      </x:c>
      <x:c r="H302" s="15" t="n">
        <x:f>D302*(1-E302)</x:f>
        <x:v>314.29999999999995</x:v>
      </x:c>
      <x:c r="I302" s="15" t="n">
        <x:f>F302+G302</x:f>
        <x:v>210</x:v>
      </x:c>
      <x:c r="J302" s="15" t="n">
        <x:f>H302-I302</x:f>
        <x:v>104.29999999999995</x:v>
      </x:c>
      <x:c r="K302" s="16" t="n">
        <x:f>IFERROR(J302/H302,0)</x:f>
        <x:v>0.33184855233852995</x:v>
      </x:c>
      <x:c r="L302" s="14" t="str">
        <x:f>IF(J302&gt;0,"Provisional positive contribution","Not viable")</x:f>
        <x:v>Provisional positive contribution</x:v>
      </x:c>
    </x:row>
    <x:row r="303">
      <x:c r="A303" s="14" t="str">
        <x:v>240gsm Oversized</x:v>
      </x:c>
      <x:c r="B303" s="14" t="n">
        <x:v>10</x:v>
      </x:c>
      <x:c r="C303" s="15" t="n">
        <x:v>699</x:v>
      </x:c>
      <x:c r="D303" s="15" t="n">
        <x:v>449</x:v>
      </x:c>
      <x:c r="E303" s="16" t="n">
        <x:v>0.35</x:v>
      </x:c>
      <x:c r="F303" s="15" t="n">
        <x:f>INDEX('Inputs'!$D$4:$D$6,MATCH(A303,'Inputs'!$A$4:$A$6,0))</x:f>
        <x:v>125</x:v>
      </x:c>
      <x:c r="G303" s="15" t="n">
        <x:f>INDEX('Inputs'!$E$4:$E$6,MATCH(A303,'Inputs'!$A$4:$A$6,0))</x:f>
        <x:v>85</x:v>
      </x:c>
      <x:c r="H303" s="15" t="n">
        <x:f>D303*(1-E303)</x:f>
        <x:v>291.85</x:v>
      </x:c>
      <x:c r="I303" s="15" t="n">
        <x:f>F303+G303</x:f>
        <x:v>210</x:v>
      </x:c>
      <x:c r="J303" s="15" t="n">
        <x:f>H303-I303</x:f>
        <x:v>81.85000000000002</x:v>
      </x:c>
      <x:c r="K303" s="16" t="n">
        <x:f>IFERROR(J303/H303,0)</x:f>
        <x:v>0.28045228713380166</x:v>
      </x:c>
      <x:c r="L303" s="14" t="str">
        <x:f>IF(J303&gt;0,"Provisional positive contribution","Not viable")</x:f>
        <x:v>Provisional positive contribution</x:v>
      </x:c>
    </x:row>
    <x:row r="304">
      <x:c r="A304" s="14" t="str">
        <x:v>240gsm Oversized</x:v>
      </x:c>
      <x:c r="B304" s="14" t="n">
        <x:v>10</x:v>
      </x:c>
      <x:c r="C304" s="15" t="n">
        <x:v>699</x:v>
      </x:c>
      <x:c r="D304" s="15" t="n">
        <x:v>499</x:v>
      </x:c>
      <x:c r="E304" s="16" t="n">
        <x:v>0.2</x:v>
      </x:c>
      <x:c r="F304" s="15" t="n">
        <x:f>INDEX('Inputs'!$D$4:$D$6,MATCH(A304,'Inputs'!$A$4:$A$6,0))</x:f>
        <x:v>125</x:v>
      </x:c>
      <x:c r="G304" s="15" t="n">
        <x:f>INDEX('Inputs'!$E$4:$E$6,MATCH(A304,'Inputs'!$A$4:$A$6,0))</x:f>
        <x:v>85</x:v>
      </x:c>
      <x:c r="H304" s="15" t="n">
        <x:f>D304*(1-E304)</x:f>
        <x:v>399.20000000000005</x:v>
      </x:c>
      <x:c r="I304" s="15" t="n">
        <x:f>F304+G304</x:f>
        <x:v>210</x:v>
      </x:c>
      <x:c r="J304" s="15" t="n">
        <x:f>H304-I304</x:f>
        <x:v>189.20000000000005</x:v>
      </x:c>
      <x:c r="K304" s="16" t="n">
        <x:f>IFERROR(J304/H304,0)</x:f>
        <x:v>0.47394789579158325</x:v>
      </x:c>
      <x:c r="L304" s="14" t="str">
        <x:f>IF(J304&gt;0,"Provisional positive contribution","Not viable")</x:f>
        <x:v>Provisional positive contribution</x:v>
      </x:c>
    </x:row>
    <x:row r="305">
      <x:c r="A305" s="14" t="str">
        <x:v>240gsm Oversized</x:v>
      </x:c>
      <x:c r="B305" s="14" t="n">
        <x:v>10</x:v>
      </x:c>
      <x:c r="C305" s="15" t="n">
        <x:v>699</x:v>
      </x:c>
      <x:c r="D305" s="15" t="n">
        <x:v>499</x:v>
      </x:c>
      <x:c r="E305" s="16" t="n">
        <x:v>0.25</x:v>
      </x:c>
      <x:c r="F305" s="15" t="n">
        <x:f>INDEX('Inputs'!$D$4:$D$6,MATCH(A305,'Inputs'!$A$4:$A$6,0))</x:f>
        <x:v>125</x:v>
      </x:c>
      <x:c r="G305" s="15" t="n">
        <x:f>INDEX('Inputs'!$E$4:$E$6,MATCH(A305,'Inputs'!$A$4:$A$6,0))</x:f>
        <x:v>85</x:v>
      </x:c>
      <x:c r="H305" s="15" t="n">
        <x:f>D305*(1-E305)</x:f>
        <x:v>374.25</x:v>
      </x:c>
      <x:c r="I305" s="15" t="n">
        <x:f>F305+G305</x:f>
        <x:v>210</x:v>
      </x:c>
      <x:c r="J305" s="15" t="n">
        <x:f>H305-I305</x:f>
        <x:v>164.25</x:v>
      </x:c>
      <x:c r="K305" s="16" t="n">
        <x:f>IFERROR(J305/H305,0)</x:f>
        <x:v>0.43887775551102204</x:v>
      </x:c>
      <x:c r="L305" s="14" t="str">
        <x:f>IF(J305&gt;0,"Provisional positive contribution","Not viable")</x:f>
        <x:v>Provisional positive contribution</x:v>
      </x:c>
    </x:row>
    <x:row r="306">
      <x:c r="A306" s="14" t="str">
        <x:v>240gsm Oversized</x:v>
      </x:c>
      <x:c r="B306" s="14" t="n">
        <x:v>10</x:v>
      </x:c>
      <x:c r="C306" s="15" t="n">
        <x:v>699</x:v>
      </x:c>
      <x:c r="D306" s="15" t="n">
        <x:v>499</x:v>
      </x:c>
      <x:c r="E306" s="16" t="n">
        <x:v>0.3</x:v>
      </x:c>
      <x:c r="F306" s="15" t="n">
        <x:f>INDEX('Inputs'!$D$4:$D$6,MATCH(A306,'Inputs'!$A$4:$A$6,0))</x:f>
        <x:v>125</x:v>
      </x:c>
      <x:c r="G306" s="15" t="n">
        <x:f>INDEX('Inputs'!$E$4:$E$6,MATCH(A306,'Inputs'!$A$4:$A$6,0))</x:f>
        <x:v>85</x:v>
      </x:c>
      <x:c r="H306" s="15" t="n">
        <x:f>D306*(1-E306)</x:f>
        <x:v>349.29999999999995</x:v>
      </x:c>
      <x:c r="I306" s="15" t="n">
        <x:f>F306+G306</x:f>
        <x:v>210</x:v>
      </x:c>
      <x:c r="J306" s="15" t="n">
        <x:f>H306-I306</x:f>
        <x:v>139.29999999999995</x:v>
      </x:c>
      <x:c r="K306" s="16" t="n">
        <x:f>IFERROR(J306/H306,0)</x:f>
        <x:v>0.39879759519038066</x:v>
      </x:c>
      <x:c r="L306" s="14" t="str">
        <x:f>IF(J306&gt;0,"Provisional positive contribution","Not viable")</x:f>
        <x:v>Provisional positive contribution</x:v>
      </x:c>
    </x:row>
    <x:row r="307">
      <x:c r="A307" s="14" t="str">
        <x:v>240gsm Oversized</x:v>
      </x:c>
      <x:c r="B307" s="14" t="n">
        <x:v>10</x:v>
      </x:c>
      <x:c r="C307" s="15" t="n">
        <x:v>699</x:v>
      </x:c>
      <x:c r="D307" s="15" t="n">
        <x:v>499</x:v>
      </x:c>
      <x:c r="E307" s="16" t="n">
        <x:v>0.35</x:v>
      </x:c>
      <x:c r="F307" s="15" t="n">
        <x:f>INDEX('Inputs'!$D$4:$D$6,MATCH(A307,'Inputs'!$A$4:$A$6,0))</x:f>
        <x:v>125</x:v>
      </x:c>
      <x:c r="G307" s="15" t="n">
        <x:f>INDEX('Inputs'!$E$4:$E$6,MATCH(A307,'Inputs'!$A$4:$A$6,0))</x:f>
        <x:v>85</x:v>
      </x:c>
      <x:c r="H307" s="15" t="n">
        <x:f>D307*(1-E307)</x:f>
        <x:v>324.35</x:v>
      </x:c>
      <x:c r="I307" s="15" t="n">
        <x:f>F307+G307</x:f>
        <x:v>210</x:v>
      </x:c>
      <x:c r="J307" s="15" t="n">
        <x:f>H307-I307</x:f>
        <x:v>114.35000000000002</x:v>
      </x:c>
      <x:c r="K307" s="16" t="n">
        <x:f>IFERROR(J307/H307,0)</x:f>
        <x:v>0.35255125635887163</x:v>
      </x:c>
      <x:c r="L307" s="14" t="str">
        <x:f>IF(J307&gt;0,"Provisional positive contribution","Not viable")</x:f>
        <x:v>Provisional positive contribution</x:v>
      </x:c>
    </x:row>
    <x:row r="308">
      <x:c r="A308" s="14" t="str">
        <x:v>240gsm Oversized</x:v>
      </x:c>
      <x:c r="B308" s="14" t="n">
        <x:v>10</x:v>
      </x:c>
      <x:c r="C308" s="15" t="n">
        <x:v>749</x:v>
      </x:c>
      <x:c r="D308" s="15" t="n">
        <x:v>349</x:v>
      </x:c>
      <x:c r="E308" s="16" t="n">
        <x:v>0.2</x:v>
      </x:c>
      <x:c r="F308" s="15" t="n">
        <x:f>INDEX('Inputs'!$D$4:$D$6,MATCH(A308,'Inputs'!$A$4:$A$6,0))</x:f>
        <x:v>125</x:v>
      </x:c>
      <x:c r="G308" s="15" t="n">
        <x:f>INDEX('Inputs'!$E$4:$E$6,MATCH(A308,'Inputs'!$A$4:$A$6,0))</x:f>
        <x:v>85</x:v>
      </x:c>
      <x:c r="H308" s="15" t="n">
        <x:f>D308*(1-E308)</x:f>
        <x:v>279.2</x:v>
      </x:c>
      <x:c r="I308" s="15" t="n">
        <x:f>F308+G308</x:f>
        <x:v>210</x:v>
      </x:c>
      <x:c r="J308" s="15" t="n">
        <x:f>H308-I308</x:f>
        <x:v>69.19999999999999</x:v>
      </x:c>
      <x:c r="K308" s="16" t="n">
        <x:f>IFERROR(J308/H308,0)</x:f>
        <x:v>0.2478510028653295</x:v>
      </x:c>
      <x:c r="L308" s="14" t="str">
        <x:f>IF(J308&gt;0,"Provisional positive contribution","Not viable")</x:f>
        <x:v>Provisional positive contribution</x:v>
      </x:c>
    </x:row>
    <x:row r="309">
      <x:c r="A309" s="14" t="str">
        <x:v>240gsm Oversized</x:v>
      </x:c>
      <x:c r="B309" s="14" t="n">
        <x:v>10</x:v>
      </x:c>
      <x:c r="C309" s="15" t="n">
        <x:v>749</x:v>
      </x:c>
      <x:c r="D309" s="15" t="n">
        <x:v>349</x:v>
      </x:c>
      <x:c r="E309" s="16" t="n">
        <x:v>0.25</x:v>
      </x:c>
      <x:c r="F309" s="15" t="n">
        <x:f>INDEX('Inputs'!$D$4:$D$6,MATCH(A309,'Inputs'!$A$4:$A$6,0))</x:f>
        <x:v>125</x:v>
      </x:c>
      <x:c r="G309" s="15" t="n">
        <x:f>INDEX('Inputs'!$E$4:$E$6,MATCH(A309,'Inputs'!$A$4:$A$6,0))</x:f>
        <x:v>85</x:v>
      </x:c>
      <x:c r="H309" s="15" t="n">
        <x:f>D309*(1-E309)</x:f>
        <x:v>261.75</x:v>
      </x:c>
      <x:c r="I309" s="15" t="n">
        <x:f>F309+G309</x:f>
        <x:v>210</x:v>
      </x:c>
      <x:c r="J309" s="15" t="n">
        <x:f>H309-I309</x:f>
        <x:v>51.75</x:v>
      </x:c>
      <x:c r="K309" s="16" t="n">
        <x:f>IFERROR(J309/H309,0)</x:f>
        <x:v>0.1977077363896848</x:v>
      </x:c>
      <x:c r="L309" s="14" t="str">
        <x:f>IF(J309&gt;0,"Provisional positive contribution","Not viable")</x:f>
        <x:v>Provisional positive contribution</x:v>
      </x:c>
    </x:row>
    <x:row r="310">
      <x:c r="A310" s="14" t="str">
        <x:v>240gsm Oversized</x:v>
      </x:c>
      <x:c r="B310" s="14" t="n">
        <x:v>10</x:v>
      </x:c>
      <x:c r="C310" s="15" t="n">
        <x:v>749</x:v>
      </x:c>
      <x:c r="D310" s="15" t="n">
        <x:v>349</x:v>
      </x:c>
      <x:c r="E310" s="16" t="n">
        <x:v>0.3</x:v>
      </x:c>
      <x:c r="F310" s="15" t="n">
        <x:f>INDEX('Inputs'!$D$4:$D$6,MATCH(A310,'Inputs'!$A$4:$A$6,0))</x:f>
        <x:v>125</x:v>
      </x:c>
      <x:c r="G310" s="15" t="n">
        <x:f>INDEX('Inputs'!$E$4:$E$6,MATCH(A310,'Inputs'!$A$4:$A$6,0))</x:f>
        <x:v>85</x:v>
      </x:c>
      <x:c r="H310" s="15" t="n">
        <x:f>D310*(1-E310)</x:f>
        <x:v>244.29999999999998</x:v>
      </x:c>
      <x:c r="I310" s="15" t="n">
        <x:f>F310+G310</x:f>
        <x:v>210</x:v>
      </x:c>
      <x:c r="J310" s="15" t="n">
        <x:f>H310-I310</x:f>
        <x:v>34.29999999999998</x:v>
      </x:c>
      <x:c r="K310" s="16" t="n">
        <x:f>IFERROR(J310/H310,0)</x:f>
        <x:v>0.1404011461318051</x:v>
      </x:c>
      <x:c r="L310" s="14" t="str">
        <x:f>IF(J310&gt;0,"Provisional positive contribution","Not viable")</x:f>
        <x:v>Provisional positive contribution</x:v>
      </x:c>
    </x:row>
    <x:row r="311">
      <x:c r="A311" s="14" t="str">
        <x:v>240gsm Oversized</x:v>
      </x:c>
      <x:c r="B311" s="14" t="n">
        <x:v>10</x:v>
      </x:c>
      <x:c r="C311" s="15" t="n">
        <x:v>749</x:v>
      </x:c>
      <x:c r="D311" s="15" t="n">
        <x:v>349</x:v>
      </x:c>
      <x:c r="E311" s="16" t="n">
        <x:v>0.35</x:v>
      </x:c>
      <x:c r="F311" s="15" t="n">
        <x:f>INDEX('Inputs'!$D$4:$D$6,MATCH(A311,'Inputs'!$A$4:$A$6,0))</x:f>
        <x:v>125</x:v>
      </x:c>
      <x:c r="G311" s="15" t="n">
        <x:f>INDEX('Inputs'!$E$4:$E$6,MATCH(A311,'Inputs'!$A$4:$A$6,0))</x:f>
        <x:v>85</x:v>
      </x:c>
      <x:c r="H311" s="15" t="n">
        <x:f>D311*(1-E311)</x:f>
        <x:v>226.85</x:v>
      </x:c>
      <x:c r="I311" s="15" t="n">
        <x:f>F311+G311</x:f>
        <x:v>210</x:v>
      </x:c>
      <x:c r="J311" s="15" t="n">
        <x:f>H311-I311</x:f>
        <x:v>16.849999999999994</x:v>
      </x:c>
      <x:c r="K311" s="16" t="n">
        <x:f>IFERROR(J311/H311,0)</x:f>
        <x:v>0.07427815737271322</x:v>
      </x:c>
      <x:c r="L311" s="14" t="str">
        <x:f>IF(J311&gt;0,"Provisional positive contribution","Not viable")</x:f>
        <x:v>Provisional positive contribution</x:v>
      </x:c>
    </x:row>
    <x:row r="312">
      <x:c r="A312" s="14" t="str">
        <x:v>240gsm Oversized</x:v>
      </x:c>
      <x:c r="B312" s="14" t="n">
        <x:v>10</x:v>
      </x:c>
      <x:c r="C312" s="15" t="n">
        <x:v>749</x:v>
      </x:c>
      <x:c r="D312" s="15" t="n">
        <x:v>399</x:v>
      </x:c>
      <x:c r="E312" s="16" t="n">
        <x:v>0.2</x:v>
      </x:c>
      <x:c r="F312" s="15" t="n">
        <x:f>INDEX('Inputs'!$D$4:$D$6,MATCH(A312,'Inputs'!$A$4:$A$6,0))</x:f>
        <x:v>125</x:v>
      </x:c>
      <x:c r="G312" s="15" t="n">
        <x:f>INDEX('Inputs'!$E$4:$E$6,MATCH(A312,'Inputs'!$A$4:$A$6,0))</x:f>
        <x:v>85</x:v>
      </x:c>
      <x:c r="H312" s="15" t="n">
        <x:f>D312*(1-E312)</x:f>
        <x:v>319.20000000000005</x:v>
      </x:c>
      <x:c r="I312" s="15" t="n">
        <x:f>F312+G312</x:f>
        <x:v>210</x:v>
      </x:c>
      <x:c r="J312" s="15" t="n">
        <x:f>H312-I312</x:f>
        <x:v>109.20000000000005</x:v>
      </x:c>
      <x:c r="K312" s="16" t="n">
        <x:f>IFERROR(J312/H312,0)</x:f>
        <x:v>0.34210526315789486</x:v>
      </x:c>
      <x:c r="L312" s="14" t="str">
        <x:f>IF(J312&gt;0,"Provisional positive contribution","Not viable")</x:f>
        <x:v>Provisional positive contribution</x:v>
      </x:c>
    </x:row>
    <x:row r="313">
      <x:c r="A313" s="14" t="str">
        <x:v>240gsm Oversized</x:v>
      </x:c>
      <x:c r="B313" s="14" t="n">
        <x:v>10</x:v>
      </x:c>
      <x:c r="C313" s="15" t="n">
        <x:v>749</x:v>
      </x:c>
      <x:c r="D313" s="15" t="n">
        <x:v>399</x:v>
      </x:c>
      <x:c r="E313" s="16" t="n">
        <x:v>0.25</x:v>
      </x:c>
      <x:c r="F313" s="15" t="n">
        <x:f>INDEX('Inputs'!$D$4:$D$6,MATCH(A313,'Inputs'!$A$4:$A$6,0))</x:f>
        <x:v>125</x:v>
      </x:c>
      <x:c r="G313" s="15" t="n">
        <x:f>INDEX('Inputs'!$E$4:$E$6,MATCH(A313,'Inputs'!$A$4:$A$6,0))</x:f>
        <x:v>85</x:v>
      </x:c>
      <x:c r="H313" s="15" t="n">
        <x:f>D313*(1-E313)</x:f>
        <x:v>299.25</x:v>
      </x:c>
      <x:c r="I313" s="15" t="n">
        <x:f>F313+G313</x:f>
        <x:v>210</x:v>
      </x:c>
      <x:c r="J313" s="15" t="n">
        <x:f>H313-I313</x:f>
        <x:v>89.25</x:v>
      </x:c>
      <x:c r="K313" s="16" t="n">
        <x:f>IFERROR(J313/H313,0)</x:f>
        <x:v>0.2982456140350877</x:v>
      </x:c>
      <x:c r="L313" s="14" t="str">
        <x:f>IF(J313&gt;0,"Provisional positive contribution","Not viable")</x:f>
        <x:v>Provisional positive contribution</x:v>
      </x:c>
    </x:row>
    <x:row r="314">
      <x:c r="A314" s="14" t="str">
        <x:v>240gsm Oversized</x:v>
      </x:c>
      <x:c r="B314" s="14" t="n">
        <x:v>10</x:v>
      </x:c>
      <x:c r="C314" s="15" t="n">
        <x:v>749</x:v>
      </x:c>
      <x:c r="D314" s="15" t="n">
        <x:v>399</x:v>
      </x:c>
      <x:c r="E314" s="16" t="n">
        <x:v>0.3</x:v>
      </x:c>
      <x:c r="F314" s="15" t="n">
        <x:f>INDEX('Inputs'!$D$4:$D$6,MATCH(A314,'Inputs'!$A$4:$A$6,0))</x:f>
        <x:v>125</x:v>
      </x:c>
      <x:c r="G314" s="15" t="n">
        <x:f>INDEX('Inputs'!$E$4:$E$6,MATCH(A314,'Inputs'!$A$4:$A$6,0))</x:f>
        <x:v>85</x:v>
      </x:c>
      <x:c r="H314" s="15" t="n">
        <x:f>D314*(1-E314)</x:f>
        <x:v>279.29999999999995</x:v>
      </x:c>
      <x:c r="I314" s="15" t="n">
        <x:f>F314+G314</x:f>
        <x:v>210</x:v>
      </x:c>
      <x:c r="J314" s="15" t="n">
        <x:f>H314-I314</x:f>
        <x:v>69.29999999999995</x:v>
      </x:c>
      <x:c r="K314" s="16" t="n">
        <x:f>IFERROR(J314/H314,0)</x:f>
        <x:v>0.24812030075187957</x:v>
      </x:c>
      <x:c r="L314" s="14" t="str">
        <x:f>IF(J314&gt;0,"Provisional positive contribution","Not viable")</x:f>
        <x:v>Provisional positive contribution</x:v>
      </x:c>
    </x:row>
    <x:row r="315">
      <x:c r="A315" s="14" t="str">
        <x:v>240gsm Oversized</x:v>
      </x:c>
      <x:c r="B315" s="14" t="n">
        <x:v>10</x:v>
      </x:c>
      <x:c r="C315" s="15" t="n">
        <x:v>749</x:v>
      </x:c>
      <x:c r="D315" s="15" t="n">
        <x:v>399</x:v>
      </x:c>
      <x:c r="E315" s="16" t="n">
        <x:v>0.35</x:v>
      </x:c>
      <x:c r="F315" s="15" t="n">
        <x:f>INDEX('Inputs'!$D$4:$D$6,MATCH(A315,'Inputs'!$A$4:$A$6,0))</x:f>
        <x:v>125</x:v>
      </x:c>
      <x:c r="G315" s="15" t="n">
        <x:f>INDEX('Inputs'!$E$4:$E$6,MATCH(A315,'Inputs'!$A$4:$A$6,0))</x:f>
        <x:v>85</x:v>
      </x:c>
      <x:c r="H315" s="15" t="n">
        <x:f>D315*(1-E315)</x:f>
        <x:v>259.35</x:v>
      </x:c>
      <x:c r="I315" s="15" t="n">
        <x:f>F315+G315</x:f>
        <x:v>210</x:v>
      </x:c>
      <x:c r="J315" s="15" t="n">
        <x:f>H315-I315</x:f>
        <x:v>49.35000000000002</x:v>
      </x:c>
      <x:c r="K315" s="16" t="n">
        <x:f>IFERROR(J315/H315,0)</x:f>
        <x:v>0.19028340080971667</x:v>
      </x:c>
      <x:c r="L315" s="14" t="str">
        <x:f>IF(J315&gt;0,"Provisional positive contribution","Not viable")</x:f>
        <x:v>Provisional positive contribution</x:v>
      </x:c>
    </x:row>
    <x:row r="316">
      <x:c r="A316" s="14" t="str">
        <x:v>240gsm Oversized</x:v>
      </x:c>
      <x:c r="B316" s="14" t="n">
        <x:v>10</x:v>
      </x:c>
      <x:c r="C316" s="15" t="n">
        <x:v>749</x:v>
      </x:c>
      <x:c r="D316" s="15" t="n">
        <x:v>449</x:v>
      </x:c>
      <x:c r="E316" s="16" t="n">
        <x:v>0.2</x:v>
      </x:c>
      <x:c r="F316" s="15" t="n">
        <x:f>INDEX('Inputs'!$D$4:$D$6,MATCH(A316,'Inputs'!$A$4:$A$6,0))</x:f>
        <x:v>125</x:v>
      </x:c>
      <x:c r="G316" s="15" t="n">
        <x:f>INDEX('Inputs'!$E$4:$E$6,MATCH(A316,'Inputs'!$A$4:$A$6,0))</x:f>
        <x:v>85</x:v>
      </x:c>
      <x:c r="H316" s="15" t="n">
        <x:f>D316*(1-E316)</x:f>
        <x:v>359.20000000000005</x:v>
      </x:c>
      <x:c r="I316" s="15" t="n">
        <x:f>F316+G316</x:f>
        <x:v>210</x:v>
      </x:c>
      <x:c r="J316" s="15" t="n">
        <x:f>H316-I316</x:f>
        <x:v>149.20000000000005</x:v>
      </x:c>
      <x:c r="K316" s="16" t="n">
        <x:f>IFERROR(J316/H316,0)</x:f>
        <x:v>0.41536748329621387</x:v>
      </x:c>
      <x:c r="L316" s="14" t="str">
        <x:f>IF(J316&gt;0,"Provisional positive contribution","Not viable")</x:f>
        <x:v>Provisional positive contribution</x:v>
      </x:c>
    </x:row>
    <x:row r="317">
      <x:c r="A317" s="14" t="str">
        <x:v>240gsm Oversized</x:v>
      </x:c>
      <x:c r="B317" s="14" t="n">
        <x:v>10</x:v>
      </x:c>
      <x:c r="C317" s="15" t="n">
        <x:v>749</x:v>
      </x:c>
      <x:c r="D317" s="15" t="n">
        <x:v>449</x:v>
      </x:c>
      <x:c r="E317" s="16" t="n">
        <x:v>0.25</x:v>
      </x:c>
      <x:c r="F317" s="15" t="n">
        <x:f>INDEX('Inputs'!$D$4:$D$6,MATCH(A317,'Inputs'!$A$4:$A$6,0))</x:f>
        <x:v>125</x:v>
      </x:c>
      <x:c r="G317" s="15" t="n">
        <x:f>INDEX('Inputs'!$E$4:$E$6,MATCH(A317,'Inputs'!$A$4:$A$6,0))</x:f>
        <x:v>85</x:v>
      </x:c>
      <x:c r="H317" s="15" t="n">
        <x:f>D317*(1-E317)</x:f>
        <x:v>336.75</x:v>
      </x:c>
      <x:c r="I317" s="15" t="n">
        <x:f>F317+G317</x:f>
        <x:v>210</x:v>
      </x:c>
      <x:c r="J317" s="15" t="n">
        <x:f>H317-I317</x:f>
        <x:v>126.75</x:v>
      </x:c>
      <x:c r="K317" s="16" t="n">
        <x:f>IFERROR(J317/H317,0)</x:f>
        <x:v>0.37639198218262804</x:v>
      </x:c>
      <x:c r="L317" s="14" t="str">
        <x:f>IF(J317&gt;0,"Provisional positive contribution","Not viable")</x:f>
        <x:v>Provisional positive contribution</x:v>
      </x:c>
    </x:row>
    <x:row r="318">
      <x:c r="A318" s="14" t="str">
        <x:v>240gsm Oversized</x:v>
      </x:c>
      <x:c r="B318" s="14" t="n">
        <x:v>10</x:v>
      </x:c>
      <x:c r="C318" s="15" t="n">
        <x:v>749</x:v>
      </x:c>
      <x:c r="D318" s="15" t="n">
        <x:v>449</x:v>
      </x:c>
      <x:c r="E318" s="16" t="n">
        <x:v>0.3</x:v>
      </x:c>
      <x:c r="F318" s="15" t="n">
        <x:f>INDEX('Inputs'!$D$4:$D$6,MATCH(A318,'Inputs'!$A$4:$A$6,0))</x:f>
        <x:v>125</x:v>
      </x:c>
      <x:c r="G318" s="15" t="n">
        <x:f>INDEX('Inputs'!$E$4:$E$6,MATCH(A318,'Inputs'!$A$4:$A$6,0))</x:f>
        <x:v>85</x:v>
      </x:c>
      <x:c r="H318" s="15" t="n">
        <x:f>D318*(1-E318)</x:f>
        <x:v>314.29999999999995</x:v>
      </x:c>
      <x:c r="I318" s="15" t="n">
        <x:f>F318+G318</x:f>
        <x:v>210</x:v>
      </x:c>
      <x:c r="J318" s="15" t="n">
        <x:f>H318-I318</x:f>
        <x:v>104.29999999999995</x:v>
      </x:c>
      <x:c r="K318" s="16" t="n">
        <x:f>IFERROR(J318/H318,0)</x:f>
        <x:v>0.33184855233852995</x:v>
      </x:c>
      <x:c r="L318" s="14" t="str">
        <x:f>IF(J318&gt;0,"Provisional positive contribution","Not viable")</x:f>
        <x:v>Provisional positive contribution</x:v>
      </x:c>
    </x:row>
    <x:row r="319">
      <x:c r="A319" s="14" t="str">
        <x:v>240gsm Oversized</x:v>
      </x:c>
      <x:c r="B319" s="14" t="n">
        <x:v>10</x:v>
      </x:c>
      <x:c r="C319" s="15" t="n">
        <x:v>749</x:v>
      </x:c>
      <x:c r="D319" s="15" t="n">
        <x:v>449</x:v>
      </x:c>
      <x:c r="E319" s="16" t="n">
        <x:v>0.35</x:v>
      </x:c>
      <x:c r="F319" s="15" t="n">
        <x:f>INDEX('Inputs'!$D$4:$D$6,MATCH(A319,'Inputs'!$A$4:$A$6,0))</x:f>
        <x:v>125</x:v>
      </x:c>
      <x:c r="G319" s="15" t="n">
        <x:f>INDEX('Inputs'!$E$4:$E$6,MATCH(A319,'Inputs'!$A$4:$A$6,0))</x:f>
        <x:v>85</x:v>
      </x:c>
      <x:c r="H319" s="15" t="n">
        <x:f>D319*(1-E319)</x:f>
        <x:v>291.85</x:v>
      </x:c>
      <x:c r="I319" s="15" t="n">
        <x:f>F319+G319</x:f>
        <x:v>210</x:v>
      </x:c>
      <x:c r="J319" s="15" t="n">
        <x:f>H319-I319</x:f>
        <x:v>81.85000000000002</x:v>
      </x:c>
      <x:c r="K319" s="16" t="n">
        <x:f>IFERROR(J319/H319,0)</x:f>
        <x:v>0.28045228713380166</x:v>
      </x:c>
      <x:c r="L319" s="14" t="str">
        <x:f>IF(J319&gt;0,"Provisional positive contribution","Not viable")</x:f>
        <x:v>Provisional positive contribution</x:v>
      </x:c>
    </x:row>
    <x:row r="320">
      <x:c r="A320" s="14" t="str">
        <x:v>240gsm Oversized</x:v>
      </x:c>
      <x:c r="B320" s="14" t="n">
        <x:v>10</x:v>
      </x:c>
      <x:c r="C320" s="15" t="n">
        <x:v>749</x:v>
      </x:c>
      <x:c r="D320" s="15" t="n">
        <x:v>499</x:v>
      </x:c>
      <x:c r="E320" s="16" t="n">
        <x:v>0.2</x:v>
      </x:c>
      <x:c r="F320" s="15" t="n">
        <x:f>INDEX('Inputs'!$D$4:$D$6,MATCH(A320,'Inputs'!$A$4:$A$6,0))</x:f>
        <x:v>125</x:v>
      </x:c>
      <x:c r="G320" s="15" t="n">
        <x:f>INDEX('Inputs'!$E$4:$E$6,MATCH(A320,'Inputs'!$A$4:$A$6,0))</x:f>
        <x:v>85</x:v>
      </x:c>
      <x:c r="H320" s="15" t="n">
        <x:f>D320*(1-E320)</x:f>
        <x:v>399.20000000000005</x:v>
      </x:c>
      <x:c r="I320" s="15" t="n">
        <x:f>F320+G320</x:f>
        <x:v>210</x:v>
      </x:c>
      <x:c r="J320" s="15" t="n">
        <x:f>H320-I320</x:f>
        <x:v>189.20000000000005</x:v>
      </x:c>
      <x:c r="K320" s="16" t="n">
        <x:f>IFERROR(J320/H320,0)</x:f>
        <x:v>0.47394789579158325</x:v>
      </x:c>
      <x:c r="L320" s="14" t="str">
        <x:f>IF(J320&gt;0,"Provisional positive contribution","Not viable")</x:f>
        <x:v>Provisional positive contribution</x:v>
      </x:c>
    </x:row>
    <x:row r="321">
      <x:c r="A321" s="14" t="str">
        <x:v>240gsm Oversized</x:v>
      </x:c>
      <x:c r="B321" s="14" t="n">
        <x:v>10</x:v>
      </x:c>
      <x:c r="C321" s="15" t="n">
        <x:v>749</x:v>
      </x:c>
      <x:c r="D321" s="15" t="n">
        <x:v>499</x:v>
      </x:c>
      <x:c r="E321" s="16" t="n">
        <x:v>0.25</x:v>
      </x:c>
      <x:c r="F321" s="15" t="n">
        <x:f>INDEX('Inputs'!$D$4:$D$6,MATCH(A321,'Inputs'!$A$4:$A$6,0))</x:f>
        <x:v>125</x:v>
      </x:c>
      <x:c r="G321" s="15" t="n">
        <x:f>INDEX('Inputs'!$E$4:$E$6,MATCH(A321,'Inputs'!$A$4:$A$6,0))</x:f>
        <x:v>85</x:v>
      </x:c>
      <x:c r="H321" s="15" t="n">
        <x:f>D321*(1-E321)</x:f>
        <x:v>374.25</x:v>
      </x:c>
      <x:c r="I321" s="15" t="n">
        <x:f>F321+G321</x:f>
        <x:v>210</x:v>
      </x:c>
      <x:c r="J321" s="15" t="n">
        <x:f>H321-I321</x:f>
        <x:v>164.25</x:v>
      </x:c>
      <x:c r="K321" s="16" t="n">
        <x:f>IFERROR(J321/H321,0)</x:f>
        <x:v>0.43887775551102204</x:v>
      </x:c>
      <x:c r="L321" s="14" t="str">
        <x:f>IF(J321&gt;0,"Provisional positive contribution","Not viable")</x:f>
        <x:v>Provisional positive contribution</x:v>
      </x:c>
    </x:row>
    <x:row r="322">
      <x:c r="A322" s="14" t="str">
        <x:v>240gsm Oversized</x:v>
      </x:c>
      <x:c r="B322" s="14" t="n">
        <x:v>10</x:v>
      </x:c>
      <x:c r="C322" s="15" t="n">
        <x:v>749</x:v>
      </x:c>
      <x:c r="D322" s="15" t="n">
        <x:v>499</x:v>
      </x:c>
      <x:c r="E322" s="16" t="n">
        <x:v>0.3</x:v>
      </x:c>
      <x:c r="F322" s="15" t="n">
        <x:f>INDEX('Inputs'!$D$4:$D$6,MATCH(A322,'Inputs'!$A$4:$A$6,0))</x:f>
        <x:v>125</x:v>
      </x:c>
      <x:c r="G322" s="15" t="n">
        <x:f>INDEX('Inputs'!$E$4:$E$6,MATCH(A322,'Inputs'!$A$4:$A$6,0))</x:f>
        <x:v>85</x:v>
      </x:c>
      <x:c r="H322" s="15" t="n">
        <x:f>D322*(1-E322)</x:f>
        <x:v>349.29999999999995</x:v>
      </x:c>
      <x:c r="I322" s="15" t="n">
        <x:f>F322+G322</x:f>
        <x:v>210</x:v>
      </x:c>
      <x:c r="J322" s="15" t="n">
        <x:f>H322-I322</x:f>
        <x:v>139.29999999999995</x:v>
      </x:c>
      <x:c r="K322" s="16" t="n">
        <x:f>IFERROR(J322/H322,0)</x:f>
        <x:v>0.39879759519038066</x:v>
      </x:c>
      <x:c r="L322" s="14" t="str">
        <x:f>IF(J322&gt;0,"Provisional positive contribution","Not viable")</x:f>
        <x:v>Provisional positive contribution</x:v>
      </x:c>
    </x:row>
    <x:row r="323">
      <x:c r="A323" s="14" t="str">
        <x:v>240gsm Oversized</x:v>
      </x:c>
      <x:c r="B323" s="14" t="n">
        <x:v>10</x:v>
      </x:c>
      <x:c r="C323" s="15" t="n">
        <x:v>749</x:v>
      </x:c>
      <x:c r="D323" s="15" t="n">
        <x:v>499</x:v>
      </x:c>
      <x:c r="E323" s="16" t="n">
        <x:v>0.35</x:v>
      </x:c>
      <x:c r="F323" s="15" t="n">
        <x:f>INDEX('Inputs'!$D$4:$D$6,MATCH(A323,'Inputs'!$A$4:$A$6,0))</x:f>
        <x:v>125</x:v>
      </x:c>
      <x:c r="G323" s="15" t="n">
        <x:f>INDEX('Inputs'!$E$4:$E$6,MATCH(A323,'Inputs'!$A$4:$A$6,0))</x:f>
        <x:v>85</x:v>
      </x:c>
      <x:c r="H323" s="15" t="n">
        <x:f>D323*(1-E323)</x:f>
        <x:v>324.35</x:v>
      </x:c>
      <x:c r="I323" s="15" t="n">
        <x:f>F323+G323</x:f>
        <x:v>210</x:v>
      </x:c>
      <x:c r="J323" s="15" t="n">
        <x:f>H323-I323</x:f>
        <x:v>114.35000000000002</x:v>
      </x:c>
      <x:c r="K323" s="16" t="n">
        <x:f>IFERROR(J323/H323,0)</x:f>
        <x:v>0.35255125635887163</x:v>
      </x:c>
      <x:c r="L323" s="14" t="str">
        <x:f>IF(J323&gt;0,"Provisional positive contribution","Not viable")</x:f>
        <x:v>Provisional positive contribution</x:v>
      </x:c>
    </x:row>
    <x:row r="324">
      <x:c r="A324" s="14" t="str">
        <x:v>240gsm Oversized</x:v>
      </x:c>
      <x:c r="B324" s="14" t="n">
        <x:v>25</x:v>
      </x:c>
      <x:c r="C324" s="15" t="n">
        <x:v>599</x:v>
      </x:c>
      <x:c r="D324" s="15" t="n">
        <x:v>349</x:v>
      </x:c>
      <x:c r="E324" s="16" t="n">
        <x:v>0.2</x:v>
      </x:c>
      <x:c r="F324" s="15" t="n">
        <x:f>INDEX('Inputs'!$D$4:$D$6,MATCH(A324,'Inputs'!$A$4:$A$6,0))</x:f>
        <x:v>125</x:v>
      </x:c>
      <x:c r="G324" s="15" t="n">
        <x:f>INDEX('Inputs'!$E$4:$E$6,MATCH(A324,'Inputs'!$A$4:$A$6,0))</x:f>
        <x:v>85</x:v>
      </x:c>
      <x:c r="H324" s="15" t="n">
        <x:f>D324*(1-E324)</x:f>
        <x:v>279.2</x:v>
      </x:c>
      <x:c r="I324" s="15" t="n">
        <x:f>F324+G324</x:f>
        <x:v>210</x:v>
      </x:c>
      <x:c r="J324" s="15" t="n">
        <x:f>H324-I324</x:f>
        <x:v>69.19999999999999</x:v>
      </x:c>
      <x:c r="K324" s="16" t="n">
        <x:f>IFERROR(J324/H324,0)</x:f>
        <x:v>0.2478510028653295</x:v>
      </x:c>
      <x:c r="L324" s="14" t="str">
        <x:f>IF(J324&gt;0,"Provisional positive contribution","Not viable")</x:f>
        <x:v>Provisional positive contribution</x:v>
      </x:c>
    </x:row>
    <x:row r="325">
      <x:c r="A325" s="14" t="str">
        <x:v>240gsm Oversized</x:v>
      </x:c>
      <x:c r="B325" s="14" t="n">
        <x:v>25</x:v>
      </x:c>
      <x:c r="C325" s="15" t="n">
        <x:v>599</x:v>
      </x:c>
      <x:c r="D325" s="15" t="n">
        <x:v>349</x:v>
      </x:c>
      <x:c r="E325" s="16" t="n">
        <x:v>0.25</x:v>
      </x:c>
      <x:c r="F325" s="15" t="n">
        <x:f>INDEX('Inputs'!$D$4:$D$6,MATCH(A325,'Inputs'!$A$4:$A$6,0))</x:f>
        <x:v>125</x:v>
      </x:c>
      <x:c r="G325" s="15" t="n">
        <x:f>INDEX('Inputs'!$E$4:$E$6,MATCH(A325,'Inputs'!$A$4:$A$6,0))</x:f>
        <x:v>85</x:v>
      </x:c>
      <x:c r="H325" s="15" t="n">
        <x:f>D325*(1-E325)</x:f>
        <x:v>261.75</x:v>
      </x:c>
      <x:c r="I325" s="15" t="n">
        <x:f>F325+G325</x:f>
        <x:v>210</x:v>
      </x:c>
      <x:c r="J325" s="15" t="n">
        <x:f>H325-I325</x:f>
        <x:v>51.75</x:v>
      </x:c>
      <x:c r="K325" s="16" t="n">
        <x:f>IFERROR(J325/H325,0)</x:f>
        <x:v>0.1977077363896848</x:v>
      </x:c>
      <x:c r="L325" s="14" t="str">
        <x:f>IF(J325&gt;0,"Provisional positive contribution","Not viable")</x:f>
        <x:v>Provisional positive contribution</x:v>
      </x:c>
    </x:row>
    <x:row r="326">
      <x:c r="A326" s="14" t="str">
        <x:v>240gsm Oversized</x:v>
      </x:c>
      <x:c r="B326" s="14" t="n">
        <x:v>25</x:v>
      </x:c>
      <x:c r="C326" s="15" t="n">
        <x:v>599</x:v>
      </x:c>
      <x:c r="D326" s="15" t="n">
        <x:v>349</x:v>
      </x:c>
      <x:c r="E326" s="16" t="n">
        <x:v>0.3</x:v>
      </x:c>
      <x:c r="F326" s="15" t="n">
        <x:f>INDEX('Inputs'!$D$4:$D$6,MATCH(A326,'Inputs'!$A$4:$A$6,0))</x:f>
        <x:v>125</x:v>
      </x:c>
      <x:c r="G326" s="15" t="n">
        <x:f>INDEX('Inputs'!$E$4:$E$6,MATCH(A326,'Inputs'!$A$4:$A$6,0))</x:f>
        <x:v>85</x:v>
      </x:c>
      <x:c r="H326" s="15" t="n">
        <x:f>D326*(1-E326)</x:f>
        <x:v>244.29999999999998</x:v>
      </x:c>
      <x:c r="I326" s="15" t="n">
        <x:f>F326+G326</x:f>
        <x:v>210</x:v>
      </x:c>
      <x:c r="J326" s="15" t="n">
        <x:f>H326-I326</x:f>
        <x:v>34.29999999999998</x:v>
      </x:c>
      <x:c r="K326" s="16" t="n">
        <x:f>IFERROR(J326/H326,0)</x:f>
        <x:v>0.1404011461318051</x:v>
      </x:c>
      <x:c r="L326" s="14" t="str">
        <x:f>IF(J326&gt;0,"Provisional positive contribution","Not viable")</x:f>
        <x:v>Provisional positive contribution</x:v>
      </x:c>
    </x:row>
    <x:row r="327">
      <x:c r="A327" s="14" t="str">
        <x:v>240gsm Oversized</x:v>
      </x:c>
      <x:c r="B327" s="14" t="n">
        <x:v>25</x:v>
      </x:c>
      <x:c r="C327" s="15" t="n">
        <x:v>599</x:v>
      </x:c>
      <x:c r="D327" s="15" t="n">
        <x:v>349</x:v>
      </x:c>
      <x:c r="E327" s="16" t="n">
        <x:v>0.35</x:v>
      </x:c>
      <x:c r="F327" s="15" t="n">
        <x:f>INDEX('Inputs'!$D$4:$D$6,MATCH(A327,'Inputs'!$A$4:$A$6,0))</x:f>
        <x:v>125</x:v>
      </x:c>
      <x:c r="G327" s="15" t="n">
        <x:f>INDEX('Inputs'!$E$4:$E$6,MATCH(A327,'Inputs'!$A$4:$A$6,0))</x:f>
        <x:v>85</x:v>
      </x:c>
      <x:c r="H327" s="15" t="n">
        <x:f>D327*(1-E327)</x:f>
        <x:v>226.85</x:v>
      </x:c>
      <x:c r="I327" s="15" t="n">
        <x:f>F327+G327</x:f>
        <x:v>210</x:v>
      </x:c>
      <x:c r="J327" s="15" t="n">
        <x:f>H327-I327</x:f>
        <x:v>16.849999999999994</x:v>
      </x:c>
      <x:c r="K327" s="16" t="n">
        <x:f>IFERROR(J327/H327,0)</x:f>
        <x:v>0.07427815737271322</x:v>
      </x:c>
      <x:c r="L327" s="14" t="str">
        <x:f>IF(J327&gt;0,"Provisional positive contribution","Not viable")</x:f>
        <x:v>Provisional positive contribution</x:v>
      </x:c>
    </x:row>
    <x:row r="328">
      <x:c r="A328" s="14" t="str">
        <x:v>240gsm Oversized</x:v>
      </x:c>
      <x:c r="B328" s="14" t="n">
        <x:v>25</x:v>
      </x:c>
      <x:c r="C328" s="15" t="n">
        <x:v>599</x:v>
      </x:c>
      <x:c r="D328" s="15" t="n">
        <x:v>399</x:v>
      </x:c>
      <x:c r="E328" s="16" t="n">
        <x:v>0.2</x:v>
      </x:c>
      <x:c r="F328" s="15" t="n">
        <x:f>INDEX('Inputs'!$D$4:$D$6,MATCH(A328,'Inputs'!$A$4:$A$6,0))</x:f>
        <x:v>125</x:v>
      </x:c>
      <x:c r="G328" s="15" t="n">
        <x:f>INDEX('Inputs'!$E$4:$E$6,MATCH(A328,'Inputs'!$A$4:$A$6,0))</x:f>
        <x:v>85</x:v>
      </x:c>
      <x:c r="H328" s="15" t="n">
        <x:f>D328*(1-E328)</x:f>
        <x:v>319.20000000000005</x:v>
      </x:c>
      <x:c r="I328" s="15" t="n">
        <x:f>F328+G328</x:f>
        <x:v>210</x:v>
      </x:c>
      <x:c r="J328" s="15" t="n">
        <x:f>H328-I328</x:f>
        <x:v>109.20000000000005</x:v>
      </x:c>
      <x:c r="K328" s="16" t="n">
        <x:f>IFERROR(J328/H328,0)</x:f>
        <x:v>0.34210526315789486</x:v>
      </x:c>
      <x:c r="L328" s="14" t="str">
        <x:f>IF(J328&gt;0,"Provisional positive contribution","Not viable")</x:f>
        <x:v>Provisional positive contribution</x:v>
      </x:c>
    </x:row>
    <x:row r="329">
      <x:c r="A329" s="14" t="str">
        <x:v>240gsm Oversized</x:v>
      </x:c>
      <x:c r="B329" s="14" t="n">
        <x:v>25</x:v>
      </x:c>
      <x:c r="C329" s="15" t="n">
        <x:v>599</x:v>
      </x:c>
      <x:c r="D329" s="15" t="n">
        <x:v>399</x:v>
      </x:c>
      <x:c r="E329" s="16" t="n">
        <x:v>0.25</x:v>
      </x:c>
      <x:c r="F329" s="15" t="n">
        <x:f>INDEX('Inputs'!$D$4:$D$6,MATCH(A329,'Inputs'!$A$4:$A$6,0))</x:f>
        <x:v>125</x:v>
      </x:c>
      <x:c r="G329" s="15" t="n">
        <x:f>INDEX('Inputs'!$E$4:$E$6,MATCH(A329,'Inputs'!$A$4:$A$6,0))</x:f>
        <x:v>85</x:v>
      </x:c>
      <x:c r="H329" s="15" t="n">
        <x:f>D329*(1-E329)</x:f>
        <x:v>299.25</x:v>
      </x:c>
      <x:c r="I329" s="15" t="n">
        <x:f>F329+G329</x:f>
        <x:v>210</x:v>
      </x:c>
      <x:c r="J329" s="15" t="n">
        <x:f>H329-I329</x:f>
        <x:v>89.25</x:v>
      </x:c>
      <x:c r="K329" s="16" t="n">
        <x:f>IFERROR(J329/H329,0)</x:f>
        <x:v>0.2982456140350877</x:v>
      </x:c>
      <x:c r="L329" s="14" t="str">
        <x:f>IF(J329&gt;0,"Provisional positive contribution","Not viable")</x:f>
        <x:v>Provisional positive contribution</x:v>
      </x:c>
    </x:row>
    <x:row r="330">
      <x:c r="A330" s="14" t="str">
        <x:v>240gsm Oversized</x:v>
      </x:c>
      <x:c r="B330" s="14" t="n">
        <x:v>25</x:v>
      </x:c>
      <x:c r="C330" s="15" t="n">
        <x:v>599</x:v>
      </x:c>
      <x:c r="D330" s="15" t="n">
        <x:v>399</x:v>
      </x:c>
      <x:c r="E330" s="16" t="n">
        <x:v>0.3</x:v>
      </x:c>
      <x:c r="F330" s="15" t="n">
        <x:f>INDEX('Inputs'!$D$4:$D$6,MATCH(A330,'Inputs'!$A$4:$A$6,0))</x:f>
        <x:v>125</x:v>
      </x:c>
      <x:c r="G330" s="15" t="n">
        <x:f>INDEX('Inputs'!$E$4:$E$6,MATCH(A330,'Inputs'!$A$4:$A$6,0))</x:f>
        <x:v>85</x:v>
      </x:c>
      <x:c r="H330" s="15" t="n">
        <x:f>D330*(1-E330)</x:f>
        <x:v>279.29999999999995</x:v>
      </x:c>
      <x:c r="I330" s="15" t="n">
        <x:f>F330+G330</x:f>
        <x:v>210</x:v>
      </x:c>
      <x:c r="J330" s="15" t="n">
        <x:f>H330-I330</x:f>
        <x:v>69.29999999999995</x:v>
      </x:c>
      <x:c r="K330" s="16" t="n">
        <x:f>IFERROR(J330/H330,0)</x:f>
        <x:v>0.24812030075187957</x:v>
      </x:c>
      <x:c r="L330" s="14" t="str">
        <x:f>IF(J330&gt;0,"Provisional positive contribution","Not viable")</x:f>
        <x:v>Provisional positive contribution</x:v>
      </x:c>
    </x:row>
    <x:row r="331">
      <x:c r="A331" s="14" t="str">
        <x:v>240gsm Oversized</x:v>
      </x:c>
      <x:c r="B331" s="14" t="n">
        <x:v>25</x:v>
      </x:c>
      <x:c r="C331" s="15" t="n">
        <x:v>599</x:v>
      </x:c>
      <x:c r="D331" s="15" t="n">
        <x:v>399</x:v>
      </x:c>
      <x:c r="E331" s="16" t="n">
        <x:v>0.35</x:v>
      </x:c>
      <x:c r="F331" s="15" t="n">
        <x:f>INDEX('Inputs'!$D$4:$D$6,MATCH(A331,'Inputs'!$A$4:$A$6,0))</x:f>
        <x:v>125</x:v>
      </x:c>
      <x:c r="G331" s="15" t="n">
        <x:f>INDEX('Inputs'!$E$4:$E$6,MATCH(A331,'Inputs'!$A$4:$A$6,0))</x:f>
        <x:v>85</x:v>
      </x:c>
      <x:c r="H331" s="15" t="n">
        <x:f>D331*(1-E331)</x:f>
        <x:v>259.35</x:v>
      </x:c>
      <x:c r="I331" s="15" t="n">
        <x:f>F331+G331</x:f>
        <x:v>210</x:v>
      </x:c>
      <x:c r="J331" s="15" t="n">
        <x:f>H331-I331</x:f>
        <x:v>49.35000000000002</x:v>
      </x:c>
      <x:c r="K331" s="16" t="n">
        <x:f>IFERROR(J331/H331,0)</x:f>
        <x:v>0.19028340080971667</x:v>
      </x:c>
      <x:c r="L331" s="14" t="str">
        <x:f>IF(J331&gt;0,"Provisional positive contribution","Not viable")</x:f>
        <x:v>Provisional positive contribution</x:v>
      </x:c>
    </x:row>
    <x:row r="332">
      <x:c r="A332" s="14" t="str">
        <x:v>240gsm Oversized</x:v>
      </x:c>
      <x:c r="B332" s="14" t="n">
        <x:v>25</x:v>
      </x:c>
      <x:c r="C332" s="15" t="n">
        <x:v>599</x:v>
      </x:c>
      <x:c r="D332" s="15" t="n">
        <x:v>449</x:v>
      </x:c>
      <x:c r="E332" s="16" t="n">
        <x:v>0.2</x:v>
      </x:c>
      <x:c r="F332" s="15" t="n">
        <x:f>INDEX('Inputs'!$D$4:$D$6,MATCH(A332,'Inputs'!$A$4:$A$6,0))</x:f>
        <x:v>125</x:v>
      </x:c>
      <x:c r="G332" s="15" t="n">
        <x:f>INDEX('Inputs'!$E$4:$E$6,MATCH(A332,'Inputs'!$A$4:$A$6,0))</x:f>
        <x:v>85</x:v>
      </x:c>
      <x:c r="H332" s="15" t="n">
        <x:f>D332*(1-E332)</x:f>
        <x:v>359.20000000000005</x:v>
      </x:c>
      <x:c r="I332" s="15" t="n">
        <x:f>F332+G332</x:f>
        <x:v>210</x:v>
      </x:c>
      <x:c r="J332" s="15" t="n">
        <x:f>H332-I332</x:f>
        <x:v>149.20000000000005</x:v>
      </x:c>
      <x:c r="K332" s="16" t="n">
        <x:f>IFERROR(J332/H332,0)</x:f>
        <x:v>0.41536748329621387</x:v>
      </x:c>
      <x:c r="L332" s="14" t="str">
        <x:f>IF(J332&gt;0,"Provisional positive contribution","Not viable")</x:f>
        <x:v>Provisional positive contribution</x:v>
      </x:c>
    </x:row>
    <x:row r="333">
      <x:c r="A333" s="14" t="str">
        <x:v>240gsm Oversized</x:v>
      </x:c>
      <x:c r="B333" s="14" t="n">
        <x:v>25</x:v>
      </x:c>
      <x:c r="C333" s="15" t="n">
        <x:v>599</x:v>
      </x:c>
      <x:c r="D333" s="15" t="n">
        <x:v>449</x:v>
      </x:c>
      <x:c r="E333" s="16" t="n">
        <x:v>0.25</x:v>
      </x:c>
      <x:c r="F333" s="15" t="n">
        <x:f>INDEX('Inputs'!$D$4:$D$6,MATCH(A333,'Inputs'!$A$4:$A$6,0))</x:f>
        <x:v>125</x:v>
      </x:c>
      <x:c r="G333" s="15" t="n">
        <x:f>INDEX('Inputs'!$E$4:$E$6,MATCH(A333,'Inputs'!$A$4:$A$6,0))</x:f>
        <x:v>85</x:v>
      </x:c>
      <x:c r="H333" s="15" t="n">
        <x:f>D333*(1-E333)</x:f>
        <x:v>336.75</x:v>
      </x:c>
      <x:c r="I333" s="15" t="n">
        <x:f>F333+G333</x:f>
        <x:v>210</x:v>
      </x:c>
      <x:c r="J333" s="15" t="n">
        <x:f>H333-I333</x:f>
        <x:v>126.75</x:v>
      </x:c>
      <x:c r="K333" s="16" t="n">
        <x:f>IFERROR(J333/H333,0)</x:f>
        <x:v>0.37639198218262804</x:v>
      </x:c>
      <x:c r="L333" s="14" t="str">
        <x:f>IF(J333&gt;0,"Provisional positive contribution","Not viable")</x:f>
        <x:v>Provisional positive contribution</x:v>
      </x:c>
    </x:row>
    <x:row r="334">
      <x:c r="A334" s="14" t="str">
        <x:v>240gsm Oversized</x:v>
      </x:c>
      <x:c r="B334" s="14" t="n">
        <x:v>25</x:v>
      </x:c>
      <x:c r="C334" s="15" t="n">
        <x:v>599</x:v>
      </x:c>
      <x:c r="D334" s="15" t="n">
        <x:v>449</x:v>
      </x:c>
      <x:c r="E334" s="16" t="n">
        <x:v>0.3</x:v>
      </x:c>
      <x:c r="F334" s="15" t="n">
        <x:f>INDEX('Inputs'!$D$4:$D$6,MATCH(A334,'Inputs'!$A$4:$A$6,0))</x:f>
        <x:v>125</x:v>
      </x:c>
      <x:c r="G334" s="15" t="n">
        <x:f>INDEX('Inputs'!$E$4:$E$6,MATCH(A334,'Inputs'!$A$4:$A$6,0))</x:f>
        <x:v>85</x:v>
      </x:c>
      <x:c r="H334" s="15" t="n">
        <x:f>D334*(1-E334)</x:f>
        <x:v>314.29999999999995</x:v>
      </x:c>
      <x:c r="I334" s="15" t="n">
        <x:f>F334+G334</x:f>
        <x:v>210</x:v>
      </x:c>
      <x:c r="J334" s="15" t="n">
        <x:f>H334-I334</x:f>
        <x:v>104.29999999999995</x:v>
      </x:c>
      <x:c r="K334" s="16" t="n">
        <x:f>IFERROR(J334/H334,0)</x:f>
        <x:v>0.33184855233852995</x:v>
      </x:c>
      <x:c r="L334" s="14" t="str">
        <x:f>IF(J334&gt;0,"Provisional positive contribution","Not viable")</x:f>
        <x:v>Provisional positive contribution</x:v>
      </x:c>
    </x:row>
    <x:row r="335">
      <x:c r="A335" s="14" t="str">
        <x:v>240gsm Oversized</x:v>
      </x:c>
      <x:c r="B335" s="14" t="n">
        <x:v>25</x:v>
      </x:c>
      <x:c r="C335" s="15" t="n">
        <x:v>599</x:v>
      </x:c>
      <x:c r="D335" s="15" t="n">
        <x:v>449</x:v>
      </x:c>
      <x:c r="E335" s="16" t="n">
        <x:v>0.35</x:v>
      </x:c>
      <x:c r="F335" s="15" t="n">
        <x:f>INDEX('Inputs'!$D$4:$D$6,MATCH(A335,'Inputs'!$A$4:$A$6,0))</x:f>
        <x:v>125</x:v>
      </x:c>
      <x:c r="G335" s="15" t="n">
        <x:f>INDEX('Inputs'!$E$4:$E$6,MATCH(A335,'Inputs'!$A$4:$A$6,0))</x:f>
        <x:v>85</x:v>
      </x:c>
      <x:c r="H335" s="15" t="n">
        <x:f>D335*(1-E335)</x:f>
        <x:v>291.85</x:v>
      </x:c>
      <x:c r="I335" s="15" t="n">
        <x:f>F335+G335</x:f>
        <x:v>210</x:v>
      </x:c>
      <x:c r="J335" s="15" t="n">
        <x:f>H335-I335</x:f>
        <x:v>81.85000000000002</x:v>
      </x:c>
      <x:c r="K335" s="16" t="n">
        <x:f>IFERROR(J335/H335,0)</x:f>
        <x:v>0.28045228713380166</x:v>
      </x:c>
      <x:c r="L335" s="14" t="str">
        <x:f>IF(J335&gt;0,"Provisional positive contribution","Not viable")</x:f>
        <x:v>Provisional positive contribution</x:v>
      </x:c>
    </x:row>
    <x:row r="336">
      <x:c r="A336" s="14" t="str">
        <x:v>240gsm Oversized</x:v>
      </x:c>
      <x:c r="B336" s="14" t="n">
        <x:v>25</x:v>
      </x:c>
      <x:c r="C336" s="15" t="n">
        <x:v>599</x:v>
      </x:c>
      <x:c r="D336" s="15" t="n">
        <x:v>499</x:v>
      </x:c>
      <x:c r="E336" s="16" t="n">
        <x:v>0.2</x:v>
      </x:c>
      <x:c r="F336" s="15" t="n">
        <x:f>INDEX('Inputs'!$D$4:$D$6,MATCH(A336,'Inputs'!$A$4:$A$6,0))</x:f>
        <x:v>125</x:v>
      </x:c>
      <x:c r="G336" s="15" t="n">
        <x:f>INDEX('Inputs'!$E$4:$E$6,MATCH(A336,'Inputs'!$A$4:$A$6,0))</x:f>
        <x:v>85</x:v>
      </x:c>
      <x:c r="H336" s="15" t="n">
        <x:f>D336*(1-E336)</x:f>
        <x:v>399.20000000000005</x:v>
      </x:c>
      <x:c r="I336" s="15" t="n">
        <x:f>F336+G336</x:f>
        <x:v>210</x:v>
      </x:c>
      <x:c r="J336" s="15" t="n">
        <x:f>H336-I336</x:f>
        <x:v>189.20000000000005</x:v>
      </x:c>
      <x:c r="K336" s="16" t="n">
        <x:f>IFERROR(J336/H336,0)</x:f>
        <x:v>0.47394789579158325</x:v>
      </x:c>
      <x:c r="L336" s="14" t="str">
        <x:f>IF(J336&gt;0,"Provisional positive contribution","Not viable")</x:f>
        <x:v>Provisional positive contribution</x:v>
      </x:c>
    </x:row>
    <x:row r="337">
      <x:c r="A337" s="14" t="str">
        <x:v>240gsm Oversized</x:v>
      </x:c>
      <x:c r="B337" s="14" t="n">
        <x:v>25</x:v>
      </x:c>
      <x:c r="C337" s="15" t="n">
        <x:v>599</x:v>
      </x:c>
      <x:c r="D337" s="15" t="n">
        <x:v>499</x:v>
      </x:c>
      <x:c r="E337" s="16" t="n">
        <x:v>0.25</x:v>
      </x:c>
      <x:c r="F337" s="15" t="n">
        <x:f>INDEX('Inputs'!$D$4:$D$6,MATCH(A337,'Inputs'!$A$4:$A$6,0))</x:f>
        <x:v>125</x:v>
      </x:c>
      <x:c r="G337" s="15" t="n">
        <x:f>INDEX('Inputs'!$E$4:$E$6,MATCH(A337,'Inputs'!$A$4:$A$6,0))</x:f>
        <x:v>85</x:v>
      </x:c>
      <x:c r="H337" s="15" t="n">
        <x:f>D337*(1-E337)</x:f>
        <x:v>374.25</x:v>
      </x:c>
      <x:c r="I337" s="15" t="n">
        <x:f>F337+G337</x:f>
        <x:v>210</x:v>
      </x:c>
      <x:c r="J337" s="15" t="n">
        <x:f>H337-I337</x:f>
        <x:v>164.25</x:v>
      </x:c>
      <x:c r="K337" s="16" t="n">
        <x:f>IFERROR(J337/H337,0)</x:f>
        <x:v>0.43887775551102204</x:v>
      </x:c>
      <x:c r="L337" s="14" t="str">
        <x:f>IF(J337&gt;0,"Provisional positive contribution","Not viable")</x:f>
        <x:v>Provisional positive contribution</x:v>
      </x:c>
    </x:row>
    <x:row r="338">
      <x:c r="A338" s="14" t="str">
        <x:v>240gsm Oversized</x:v>
      </x:c>
      <x:c r="B338" s="14" t="n">
        <x:v>25</x:v>
      </x:c>
      <x:c r="C338" s="15" t="n">
        <x:v>599</x:v>
      </x:c>
      <x:c r="D338" s="15" t="n">
        <x:v>499</x:v>
      </x:c>
      <x:c r="E338" s="16" t="n">
        <x:v>0.3</x:v>
      </x:c>
      <x:c r="F338" s="15" t="n">
        <x:f>INDEX('Inputs'!$D$4:$D$6,MATCH(A338,'Inputs'!$A$4:$A$6,0))</x:f>
        <x:v>125</x:v>
      </x:c>
      <x:c r="G338" s="15" t="n">
        <x:f>INDEX('Inputs'!$E$4:$E$6,MATCH(A338,'Inputs'!$A$4:$A$6,0))</x:f>
        <x:v>85</x:v>
      </x:c>
      <x:c r="H338" s="15" t="n">
        <x:f>D338*(1-E338)</x:f>
        <x:v>349.29999999999995</x:v>
      </x:c>
      <x:c r="I338" s="15" t="n">
        <x:f>F338+G338</x:f>
        <x:v>210</x:v>
      </x:c>
      <x:c r="J338" s="15" t="n">
        <x:f>H338-I338</x:f>
        <x:v>139.29999999999995</x:v>
      </x:c>
      <x:c r="K338" s="16" t="n">
        <x:f>IFERROR(J338/H338,0)</x:f>
        <x:v>0.39879759519038066</x:v>
      </x:c>
      <x:c r="L338" s="14" t="str">
        <x:f>IF(J338&gt;0,"Provisional positive contribution","Not viable")</x:f>
        <x:v>Provisional positive contribution</x:v>
      </x:c>
    </x:row>
    <x:row r="339">
      <x:c r="A339" s="14" t="str">
        <x:v>240gsm Oversized</x:v>
      </x:c>
      <x:c r="B339" s="14" t="n">
        <x:v>25</x:v>
      </x:c>
      <x:c r="C339" s="15" t="n">
        <x:v>599</x:v>
      </x:c>
      <x:c r="D339" s="15" t="n">
        <x:v>499</x:v>
      </x:c>
      <x:c r="E339" s="16" t="n">
        <x:v>0.35</x:v>
      </x:c>
      <x:c r="F339" s="15" t="n">
        <x:f>INDEX('Inputs'!$D$4:$D$6,MATCH(A339,'Inputs'!$A$4:$A$6,0))</x:f>
        <x:v>125</x:v>
      </x:c>
      <x:c r="G339" s="15" t="n">
        <x:f>INDEX('Inputs'!$E$4:$E$6,MATCH(A339,'Inputs'!$A$4:$A$6,0))</x:f>
        <x:v>85</x:v>
      </x:c>
      <x:c r="H339" s="15" t="n">
        <x:f>D339*(1-E339)</x:f>
        <x:v>324.35</x:v>
      </x:c>
      <x:c r="I339" s="15" t="n">
        <x:f>F339+G339</x:f>
        <x:v>210</x:v>
      </x:c>
      <x:c r="J339" s="15" t="n">
        <x:f>H339-I339</x:f>
        <x:v>114.35000000000002</x:v>
      </x:c>
      <x:c r="K339" s="16" t="n">
        <x:f>IFERROR(J339/H339,0)</x:f>
        <x:v>0.35255125635887163</x:v>
      </x:c>
      <x:c r="L339" s="14" t="str">
        <x:f>IF(J339&gt;0,"Provisional positive contribution","Not viable")</x:f>
        <x:v>Provisional positive contribution</x:v>
      </x:c>
    </x:row>
    <x:row r="340">
      <x:c r="A340" s="14" t="str">
        <x:v>240gsm Oversized</x:v>
      </x:c>
      <x:c r="B340" s="14" t="n">
        <x:v>25</x:v>
      </x:c>
      <x:c r="C340" s="15" t="n">
        <x:v>649</x:v>
      </x:c>
      <x:c r="D340" s="15" t="n">
        <x:v>349</x:v>
      </x:c>
      <x:c r="E340" s="16" t="n">
        <x:v>0.2</x:v>
      </x:c>
      <x:c r="F340" s="15" t="n">
        <x:f>INDEX('Inputs'!$D$4:$D$6,MATCH(A340,'Inputs'!$A$4:$A$6,0))</x:f>
        <x:v>125</x:v>
      </x:c>
      <x:c r="G340" s="15" t="n">
        <x:f>INDEX('Inputs'!$E$4:$E$6,MATCH(A340,'Inputs'!$A$4:$A$6,0))</x:f>
        <x:v>85</x:v>
      </x:c>
      <x:c r="H340" s="15" t="n">
        <x:f>D340*(1-E340)</x:f>
        <x:v>279.2</x:v>
      </x:c>
      <x:c r="I340" s="15" t="n">
        <x:f>F340+G340</x:f>
        <x:v>210</x:v>
      </x:c>
      <x:c r="J340" s="15" t="n">
        <x:f>H340-I340</x:f>
        <x:v>69.19999999999999</x:v>
      </x:c>
      <x:c r="K340" s="16" t="n">
        <x:f>IFERROR(J340/H340,0)</x:f>
        <x:v>0.2478510028653295</x:v>
      </x:c>
      <x:c r="L340" s="14" t="str">
        <x:f>IF(J340&gt;0,"Provisional positive contribution","Not viable")</x:f>
        <x:v>Provisional positive contribution</x:v>
      </x:c>
    </x:row>
    <x:row r="341">
      <x:c r="A341" s="14" t="str">
        <x:v>240gsm Oversized</x:v>
      </x:c>
      <x:c r="B341" s="14" t="n">
        <x:v>25</x:v>
      </x:c>
      <x:c r="C341" s="15" t="n">
        <x:v>649</x:v>
      </x:c>
      <x:c r="D341" s="15" t="n">
        <x:v>349</x:v>
      </x:c>
      <x:c r="E341" s="16" t="n">
        <x:v>0.25</x:v>
      </x:c>
      <x:c r="F341" s="15" t="n">
        <x:f>INDEX('Inputs'!$D$4:$D$6,MATCH(A341,'Inputs'!$A$4:$A$6,0))</x:f>
        <x:v>125</x:v>
      </x:c>
      <x:c r="G341" s="15" t="n">
        <x:f>INDEX('Inputs'!$E$4:$E$6,MATCH(A341,'Inputs'!$A$4:$A$6,0))</x:f>
        <x:v>85</x:v>
      </x:c>
      <x:c r="H341" s="15" t="n">
        <x:f>D341*(1-E341)</x:f>
        <x:v>261.75</x:v>
      </x:c>
      <x:c r="I341" s="15" t="n">
        <x:f>F341+G341</x:f>
        <x:v>210</x:v>
      </x:c>
      <x:c r="J341" s="15" t="n">
        <x:f>H341-I341</x:f>
        <x:v>51.75</x:v>
      </x:c>
      <x:c r="K341" s="16" t="n">
        <x:f>IFERROR(J341/H341,0)</x:f>
        <x:v>0.1977077363896848</x:v>
      </x:c>
      <x:c r="L341" s="14" t="str">
        <x:f>IF(J341&gt;0,"Provisional positive contribution","Not viable")</x:f>
        <x:v>Provisional positive contribution</x:v>
      </x:c>
    </x:row>
    <x:row r="342">
      <x:c r="A342" s="14" t="str">
        <x:v>240gsm Oversized</x:v>
      </x:c>
      <x:c r="B342" s="14" t="n">
        <x:v>25</x:v>
      </x:c>
      <x:c r="C342" s="15" t="n">
        <x:v>649</x:v>
      </x:c>
      <x:c r="D342" s="15" t="n">
        <x:v>349</x:v>
      </x:c>
      <x:c r="E342" s="16" t="n">
        <x:v>0.3</x:v>
      </x:c>
      <x:c r="F342" s="15" t="n">
        <x:f>INDEX('Inputs'!$D$4:$D$6,MATCH(A342,'Inputs'!$A$4:$A$6,0))</x:f>
        <x:v>125</x:v>
      </x:c>
      <x:c r="G342" s="15" t="n">
        <x:f>INDEX('Inputs'!$E$4:$E$6,MATCH(A342,'Inputs'!$A$4:$A$6,0))</x:f>
        <x:v>85</x:v>
      </x:c>
      <x:c r="H342" s="15" t="n">
        <x:f>D342*(1-E342)</x:f>
        <x:v>244.29999999999998</x:v>
      </x:c>
      <x:c r="I342" s="15" t="n">
        <x:f>F342+G342</x:f>
        <x:v>210</x:v>
      </x:c>
      <x:c r="J342" s="15" t="n">
        <x:f>H342-I342</x:f>
        <x:v>34.29999999999998</x:v>
      </x:c>
      <x:c r="K342" s="16" t="n">
        <x:f>IFERROR(J342/H342,0)</x:f>
        <x:v>0.1404011461318051</x:v>
      </x:c>
      <x:c r="L342" s="14" t="str">
        <x:f>IF(J342&gt;0,"Provisional positive contribution","Not viable")</x:f>
        <x:v>Provisional positive contribution</x:v>
      </x:c>
    </x:row>
    <x:row r="343">
      <x:c r="A343" s="14" t="str">
        <x:v>240gsm Oversized</x:v>
      </x:c>
      <x:c r="B343" s="14" t="n">
        <x:v>25</x:v>
      </x:c>
      <x:c r="C343" s="15" t="n">
        <x:v>649</x:v>
      </x:c>
      <x:c r="D343" s="15" t="n">
        <x:v>349</x:v>
      </x:c>
      <x:c r="E343" s="16" t="n">
        <x:v>0.35</x:v>
      </x:c>
      <x:c r="F343" s="15" t="n">
        <x:f>INDEX('Inputs'!$D$4:$D$6,MATCH(A343,'Inputs'!$A$4:$A$6,0))</x:f>
        <x:v>125</x:v>
      </x:c>
      <x:c r="G343" s="15" t="n">
        <x:f>INDEX('Inputs'!$E$4:$E$6,MATCH(A343,'Inputs'!$A$4:$A$6,0))</x:f>
        <x:v>85</x:v>
      </x:c>
      <x:c r="H343" s="15" t="n">
        <x:f>D343*(1-E343)</x:f>
        <x:v>226.85</x:v>
      </x:c>
      <x:c r="I343" s="15" t="n">
        <x:f>F343+G343</x:f>
        <x:v>210</x:v>
      </x:c>
      <x:c r="J343" s="15" t="n">
        <x:f>H343-I343</x:f>
        <x:v>16.849999999999994</x:v>
      </x:c>
      <x:c r="K343" s="16" t="n">
        <x:f>IFERROR(J343/H343,0)</x:f>
        <x:v>0.07427815737271322</x:v>
      </x:c>
      <x:c r="L343" s="14" t="str">
        <x:f>IF(J343&gt;0,"Provisional positive contribution","Not viable")</x:f>
        <x:v>Provisional positive contribution</x:v>
      </x:c>
    </x:row>
    <x:row r="344">
      <x:c r="A344" s="14" t="str">
        <x:v>240gsm Oversized</x:v>
      </x:c>
      <x:c r="B344" s="14" t="n">
        <x:v>25</x:v>
      </x:c>
      <x:c r="C344" s="15" t="n">
        <x:v>649</x:v>
      </x:c>
      <x:c r="D344" s="15" t="n">
        <x:v>399</x:v>
      </x:c>
      <x:c r="E344" s="16" t="n">
        <x:v>0.2</x:v>
      </x:c>
      <x:c r="F344" s="15" t="n">
        <x:f>INDEX('Inputs'!$D$4:$D$6,MATCH(A344,'Inputs'!$A$4:$A$6,0))</x:f>
        <x:v>125</x:v>
      </x:c>
      <x:c r="G344" s="15" t="n">
        <x:f>INDEX('Inputs'!$E$4:$E$6,MATCH(A344,'Inputs'!$A$4:$A$6,0))</x:f>
        <x:v>85</x:v>
      </x:c>
      <x:c r="H344" s="15" t="n">
        <x:f>D344*(1-E344)</x:f>
        <x:v>319.20000000000005</x:v>
      </x:c>
      <x:c r="I344" s="15" t="n">
        <x:f>F344+G344</x:f>
        <x:v>210</x:v>
      </x:c>
      <x:c r="J344" s="15" t="n">
        <x:f>H344-I344</x:f>
        <x:v>109.20000000000005</x:v>
      </x:c>
      <x:c r="K344" s="16" t="n">
        <x:f>IFERROR(J344/H344,0)</x:f>
        <x:v>0.34210526315789486</x:v>
      </x:c>
      <x:c r="L344" s="14" t="str">
        <x:f>IF(J344&gt;0,"Provisional positive contribution","Not viable")</x:f>
        <x:v>Provisional positive contribution</x:v>
      </x:c>
    </x:row>
    <x:row r="345">
      <x:c r="A345" s="14" t="str">
        <x:v>240gsm Oversized</x:v>
      </x:c>
      <x:c r="B345" s="14" t="n">
        <x:v>25</x:v>
      </x:c>
      <x:c r="C345" s="15" t="n">
        <x:v>649</x:v>
      </x:c>
      <x:c r="D345" s="15" t="n">
        <x:v>399</x:v>
      </x:c>
      <x:c r="E345" s="16" t="n">
        <x:v>0.25</x:v>
      </x:c>
      <x:c r="F345" s="15" t="n">
        <x:f>INDEX('Inputs'!$D$4:$D$6,MATCH(A345,'Inputs'!$A$4:$A$6,0))</x:f>
        <x:v>125</x:v>
      </x:c>
      <x:c r="G345" s="15" t="n">
        <x:f>INDEX('Inputs'!$E$4:$E$6,MATCH(A345,'Inputs'!$A$4:$A$6,0))</x:f>
        <x:v>85</x:v>
      </x:c>
      <x:c r="H345" s="15" t="n">
        <x:f>D345*(1-E345)</x:f>
        <x:v>299.25</x:v>
      </x:c>
      <x:c r="I345" s="15" t="n">
        <x:f>F345+G345</x:f>
        <x:v>210</x:v>
      </x:c>
      <x:c r="J345" s="15" t="n">
        <x:f>H345-I345</x:f>
        <x:v>89.25</x:v>
      </x:c>
      <x:c r="K345" s="16" t="n">
        <x:f>IFERROR(J345/H345,0)</x:f>
        <x:v>0.2982456140350877</x:v>
      </x:c>
      <x:c r="L345" s="14" t="str">
        <x:f>IF(J345&gt;0,"Provisional positive contribution","Not viable")</x:f>
        <x:v>Provisional positive contribution</x:v>
      </x:c>
    </x:row>
    <x:row r="346">
      <x:c r="A346" s="14" t="str">
        <x:v>240gsm Oversized</x:v>
      </x:c>
      <x:c r="B346" s="14" t="n">
        <x:v>25</x:v>
      </x:c>
      <x:c r="C346" s="15" t="n">
        <x:v>649</x:v>
      </x:c>
      <x:c r="D346" s="15" t="n">
        <x:v>399</x:v>
      </x:c>
      <x:c r="E346" s="16" t="n">
        <x:v>0.3</x:v>
      </x:c>
      <x:c r="F346" s="15" t="n">
        <x:f>INDEX('Inputs'!$D$4:$D$6,MATCH(A346,'Inputs'!$A$4:$A$6,0))</x:f>
        <x:v>125</x:v>
      </x:c>
      <x:c r="G346" s="15" t="n">
        <x:f>INDEX('Inputs'!$E$4:$E$6,MATCH(A346,'Inputs'!$A$4:$A$6,0))</x:f>
        <x:v>85</x:v>
      </x:c>
      <x:c r="H346" s="15" t="n">
        <x:f>D346*(1-E346)</x:f>
        <x:v>279.29999999999995</x:v>
      </x:c>
      <x:c r="I346" s="15" t="n">
        <x:f>F346+G346</x:f>
        <x:v>210</x:v>
      </x:c>
      <x:c r="J346" s="15" t="n">
        <x:f>H346-I346</x:f>
        <x:v>69.29999999999995</x:v>
      </x:c>
      <x:c r="K346" s="16" t="n">
        <x:f>IFERROR(J346/H346,0)</x:f>
        <x:v>0.24812030075187957</x:v>
      </x:c>
      <x:c r="L346" s="14" t="str">
        <x:f>IF(J346&gt;0,"Provisional positive contribution","Not viable")</x:f>
        <x:v>Provisional positive contribution</x:v>
      </x:c>
    </x:row>
    <x:row r="347">
      <x:c r="A347" s="14" t="str">
        <x:v>240gsm Oversized</x:v>
      </x:c>
      <x:c r="B347" s="14" t="n">
        <x:v>25</x:v>
      </x:c>
      <x:c r="C347" s="15" t="n">
        <x:v>649</x:v>
      </x:c>
      <x:c r="D347" s="15" t="n">
        <x:v>399</x:v>
      </x:c>
      <x:c r="E347" s="16" t="n">
        <x:v>0.35</x:v>
      </x:c>
      <x:c r="F347" s="15" t="n">
        <x:f>INDEX('Inputs'!$D$4:$D$6,MATCH(A347,'Inputs'!$A$4:$A$6,0))</x:f>
        <x:v>125</x:v>
      </x:c>
      <x:c r="G347" s="15" t="n">
        <x:f>INDEX('Inputs'!$E$4:$E$6,MATCH(A347,'Inputs'!$A$4:$A$6,0))</x:f>
        <x:v>85</x:v>
      </x:c>
      <x:c r="H347" s="15" t="n">
        <x:f>D347*(1-E347)</x:f>
        <x:v>259.35</x:v>
      </x:c>
      <x:c r="I347" s="15" t="n">
        <x:f>F347+G347</x:f>
        <x:v>210</x:v>
      </x:c>
      <x:c r="J347" s="15" t="n">
        <x:f>H347-I347</x:f>
        <x:v>49.35000000000002</x:v>
      </x:c>
      <x:c r="K347" s="16" t="n">
        <x:f>IFERROR(J347/H347,0)</x:f>
        <x:v>0.19028340080971667</x:v>
      </x:c>
      <x:c r="L347" s="14" t="str">
        <x:f>IF(J347&gt;0,"Provisional positive contribution","Not viable")</x:f>
        <x:v>Provisional positive contribution</x:v>
      </x:c>
    </x:row>
    <x:row r="348">
      <x:c r="A348" s="14" t="str">
        <x:v>240gsm Oversized</x:v>
      </x:c>
      <x:c r="B348" s="14" t="n">
        <x:v>25</x:v>
      </x:c>
      <x:c r="C348" s="15" t="n">
        <x:v>649</x:v>
      </x:c>
      <x:c r="D348" s="15" t="n">
        <x:v>449</x:v>
      </x:c>
      <x:c r="E348" s="16" t="n">
        <x:v>0.2</x:v>
      </x:c>
      <x:c r="F348" s="15" t="n">
        <x:f>INDEX('Inputs'!$D$4:$D$6,MATCH(A348,'Inputs'!$A$4:$A$6,0))</x:f>
        <x:v>125</x:v>
      </x:c>
      <x:c r="G348" s="15" t="n">
        <x:f>INDEX('Inputs'!$E$4:$E$6,MATCH(A348,'Inputs'!$A$4:$A$6,0))</x:f>
        <x:v>85</x:v>
      </x:c>
      <x:c r="H348" s="15" t="n">
        <x:f>D348*(1-E348)</x:f>
        <x:v>359.20000000000005</x:v>
      </x:c>
      <x:c r="I348" s="15" t="n">
        <x:f>F348+G348</x:f>
        <x:v>210</x:v>
      </x:c>
      <x:c r="J348" s="15" t="n">
        <x:f>H348-I348</x:f>
        <x:v>149.20000000000005</x:v>
      </x:c>
      <x:c r="K348" s="16" t="n">
        <x:f>IFERROR(J348/H348,0)</x:f>
        <x:v>0.41536748329621387</x:v>
      </x:c>
      <x:c r="L348" s="14" t="str">
        <x:f>IF(J348&gt;0,"Provisional positive contribution","Not viable")</x:f>
        <x:v>Provisional positive contribution</x:v>
      </x:c>
    </x:row>
    <x:row r="349">
      <x:c r="A349" s="14" t="str">
        <x:v>240gsm Oversized</x:v>
      </x:c>
      <x:c r="B349" s="14" t="n">
        <x:v>25</x:v>
      </x:c>
      <x:c r="C349" s="15" t="n">
        <x:v>649</x:v>
      </x:c>
      <x:c r="D349" s="15" t="n">
        <x:v>449</x:v>
      </x:c>
      <x:c r="E349" s="16" t="n">
        <x:v>0.25</x:v>
      </x:c>
      <x:c r="F349" s="15" t="n">
        <x:f>INDEX('Inputs'!$D$4:$D$6,MATCH(A349,'Inputs'!$A$4:$A$6,0))</x:f>
        <x:v>125</x:v>
      </x:c>
      <x:c r="G349" s="15" t="n">
        <x:f>INDEX('Inputs'!$E$4:$E$6,MATCH(A349,'Inputs'!$A$4:$A$6,0))</x:f>
        <x:v>85</x:v>
      </x:c>
      <x:c r="H349" s="15" t="n">
        <x:f>D349*(1-E349)</x:f>
        <x:v>336.75</x:v>
      </x:c>
      <x:c r="I349" s="15" t="n">
        <x:f>F349+G349</x:f>
        <x:v>210</x:v>
      </x:c>
      <x:c r="J349" s="15" t="n">
        <x:f>H349-I349</x:f>
        <x:v>126.75</x:v>
      </x:c>
      <x:c r="K349" s="16" t="n">
        <x:f>IFERROR(J349/H349,0)</x:f>
        <x:v>0.37639198218262804</x:v>
      </x:c>
      <x:c r="L349" s="14" t="str">
        <x:f>IF(J349&gt;0,"Provisional positive contribution","Not viable")</x:f>
        <x:v>Provisional positive contribution</x:v>
      </x:c>
    </x:row>
    <x:row r="350">
      <x:c r="A350" s="14" t="str">
        <x:v>240gsm Oversized</x:v>
      </x:c>
      <x:c r="B350" s="14" t="n">
        <x:v>25</x:v>
      </x:c>
      <x:c r="C350" s="15" t="n">
        <x:v>649</x:v>
      </x:c>
      <x:c r="D350" s="15" t="n">
        <x:v>449</x:v>
      </x:c>
      <x:c r="E350" s="16" t="n">
        <x:v>0.3</x:v>
      </x:c>
      <x:c r="F350" s="15" t="n">
        <x:f>INDEX('Inputs'!$D$4:$D$6,MATCH(A350,'Inputs'!$A$4:$A$6,0))</x:f>
        <x:v>125</x:v>
      </x:c>
      <x:c r="G350" s="15" t="n">
        <x:f>INDEX('Inputs'!$E$4:$E$6,MATCH(A350,'Inputs'!$A$4:$A$6,0))</x:f>
        <x:v>85</x:v>
      </x:c>
      <x:c r="H350" s="15" t="n">
        <x:f>D350*(1-E350)</x:f>
        <x:v>314.29999999999995</x:v>
      </x:c>
      <x:c r="I350" s="15" t="n">
        <x:f>F350+G350</x:f>
        <x:v>210</x:v>
      </x:c>
      <x:c r="J350" s="15" t="n">
        <x:f>H350-I350</x:f>
        <x:v>104.29999999999995</x:v>
      </x:c>
      <x:c r="K350" s="16" t="n">
        <x:f>IFERROR(J350/H350,0)</x:f>
        <x:v>0.33184855233852995</x:v>
      </x:c>
      <x:c r="L350" s="14" t="str">
        <x:f>IF(J350&gt;0,"Provisional positive contribution","Not viable")</x:f>
        <x:v>Provisional positive contribution</x:v>
      </x:c>
    </x:row>
    <x:row r="351">
      <x:c r="A351" s="14" t="str">
        <x:v>240gsm Oversized</x:v>
      </x:c>
      <x:c r="B351" s="14" t="n">
        <x:v>25</x:v>
      </x:c>
      <x:c r="C351" s="15" t="n">
        <x:v>649</x:v>
      </x:c>
      <x:c r="D351" s="15" t="n">
        <x:v>449</x:v>
      </x:c>
      <x:c r="E351" s="16" t="n">
        <x:v>0.35</x:v>
      </x:c>
      <x:c r="F351" s="15" t="n">
        <x:f>INDEX('Inputs'!$D$4:$D$6,MATCH(A351,'Inputs'!$A$4:$A$6,0))</x:f>
        <x:v>125</x:v>
      </x:c>
      <x:c r="G351" s="15" t="n">
        <x:f>INDEX('Inputs'!$E$4:$E$6,MATCH(A351,'Inputs'!$A$4:$A$6,0))</x:f>
        <x:v>85</x:v>
      </x:c>
      <x:c r="H351" s="15" t="n">
        <x:f>D351*(1-E351)</x:f>
        <x:v>291.85</x:v>
      </x:c>
      <x:c r="I351" s="15" t="n">
        <x:f>F351+G351</x:f>
        <x:v>210</x:v>
      </x:c>
      <x:c r="J351" s="15" t="n">
        <x:f>H351-I351</x:f>
        <x:v>81.85000000000002</x:v>
      </x:c>
      <x:c r="K351" s="16" t="n">
        <x:f>IFERROR(J351/H351,0)</x:f>
        <x:v>0.28045228713380166</x:v>
      </x:c>
      <x:c r="L351" s="14" t="str">
        <x:f>IF(J351&gt;0,"Provisional positive contribution","Not viable")</x:f>
        <x:v>Provisional positive contribution</x:v>
      </x:c>
    </x:row>
    <x:row r="352">
      <x:c r="A352" s="14" t="str">
        <x:v>240gsm Oversized</x:v>
      </x:c>
      <x:c r="B352" s="14" t="n">
        <x:v>25</x:v>
      </x:c>
      <x:c r="C352" s="15" t="n">
        <x:v>649</x:v>
      </x:c>
      <x:c r="D352" s="15" t="n">
        <x:v>499</x:v>
      </x:c>
      <x:c r="E352" s="16" t="n">
        <x:v>0.2</x:v>
      </x:c>
      <x:c r="F352" s="15" t="n">
        <x:f>INDEX('Inputs'!$D$4:$D$6,MATCH(A352,'Inputs'!$A$4:$A$6,0))</x:f>
        <x:v>125</x:v>
      </x:c>
      <x:c r="G352" s="15" t="n">
        <x:f>INDEX('Inputs'!$E$4:$E$6,MATCH(A352,'Inputs'!$A$4:$A$6,0))</x:f>
        <x:v>85</x:v>
      </x:c>
      <x:c r="H352" s="15" t="n">
        <x:f>D352*(1-E352)</x:f>
        <x:v>399.20000000000005</x:v>
      </x:c>
      <x:c r="I352" s="15" t="n">
        <x:f>F352+G352</x:f>
        <x:v>210</x:v>
      </x:c>
      <x:c r="J352" s="15" t="n">
        <x:f>H352-I352</x:f>
        <x:v>189.20000000000005</x:v>
      </x:c>
      <x:c r="K352" s="16" t="n">
        <x:f>IFERROR(J352/H352,0)</x:f>
        <x:v>0.47394789579158325</x:v>
      </x:c>
      <x:c r="L352" s="14" t="str">
        <x:f>IF(J352&gt;0,"Provisional positive contribution","Not viable")</x:f>
        <x:v>Provisional positive contribution</x:v>
      </x:c>
    </x:row>
    <x:row r="353">
      <x:c r="A353" s="14" t="str">
        <x:v>240gsm Oversized</x:v>
      </x:c>
      <x:c r="B353" s="14" t="n">
        <x:v>25</x:v>
      </x:c>
      <x:c r="C353" s="15" t="n">
        <x:v>649</x:v>
      </x:c>
      <x:c r="D353" s="15" t="n">
        <x:v>499</x:v>
      </x:c>
      <x:c r="E353" s="16" t="n">
        <x:v>0.25</x:v>
      </x:c>
      <x:c r="F353" s="15" t="n">
        <x:f>INDEX('Inputs'!$D$4:$D$6,MATCH(A353,'Inputs'!$A$4:$A$6,0))</x:f>
        <x:v>125</x:v>
      </x:c>
      <x:c r="G353" s="15" t="n">
        <x:f>INDEX('Inputs'!$E$4:$E$6,MATCH(A353,'Inputs'!$A$4:$A$6,0))</x:f>
        <x:v>85</x:v>
      </x:c>
      <x:c r="H353" s="15" t="n">
        <x:f>D353*(1-E353)</x:f>
        <x:v>374.25</x:v>
      </x:c>
      <x:c r="I353" s="15" t="n">
        <x:f>F353+G353</x:f>
        <x:v>210</x:v>
      </x:c>
      <x:c r="J353" s="15" t="n">
        <x:f>H353-I353</x:f>
        <x:v>164.25</x:v>
      </x:c>
      <x:c r="K353" s="16" t="n">
        <x:f>IFERROR(J353/H353,0)</x:f>
        <x:v>0.43887775551102204</x:v>
      </x:c>
      <x:c r="L353" s="14" t="str">
        <x:f>IF(J353&gt;0,"Provisional positive contribution","Not viable")</x:f>
        <x:v>Provisional positive contribution</x:v>
      </x:c>
    </x:row>
    <x:row r="354">
      <x:c r="A354" s="14" t="str">
        <x:v>240gsm Oversized</x:v>
      </x:c>
      <x:c r="B354" s="14" t="n">
        <x:v>25</x:v>
      </x:c>
      <x:c r="C354" s="15" t="n">
        <x:v>649</x:v>
      </x:c>
      <x:c r="D354" s="15" t="n">
        <x:v>499</x:v>
      </x:c>
      <x:c r="E354" s="16" t="n">
        <x:v>0.3</x:v>
      </x:c>
      <x:c r="F354" s="15" t="n">
        <x:f>INDEX('Inputs'!$D$4:$D$6,MATCH(A354,'Inputs'!$A$4:$A$6,0))</x:f>
        <x:v>125</x:v>
      </x:c>
      <x:c r="G354" s="15" t="n">
        <x:f>INDEX('Inputs'!$E$4:$E$6,MATCH(A354,'Inputs'!$A$4:$A$6,0))</x:f>
        <x:v>85</x:v>
      </x:c>
      <x:c r="H354" s="15" t="n">
        <x:f>D354*(1-E354)</x:f>
        <x:v>349.29999999999995</x:v>
      </x:c>
      <x:c r="I354" s="15" t="n">
        <x:f>F354+G354</x:f>
        <x:v>210</x:v>
      </x:c>
      <x:c r="J354" s="15" t="n">
        <x:f>H354-I354</x:f>
        <x:v>139.29999999999995</x:v>
      </x:c>
      <x:c r="K354" s="16" t="n">
        <x:f>IFERROR(J354/H354,0)</x:f>
        <x:v>0.39879759519038066</x:v>
      </x:c>
      <x:c r="L354" s="14" t="str">
        <x:f>IF(J354&gt;0,"Provisional positive contribution","Not viable")</x:f>
        <x:v>Provisional positive contribution</x:v>
      </x:c>
    </x:row>
    <x:row r="355">
      <x:c r="A355" s="14" t="str">
        <x:v>240gsm Oversized</x:v>
      </x:c>
      <x:c r="B355" s="14" t="n">
        <x:v>25</x:v>
      </x:c>
      <x:c r="C355" s="15" t="n">
        <x:v>649</x:v>
      </x:c>
      <x:c r="D355" s="15" t="n">
        <x:v>499</x:v>
      </x:c>
      <x:c r="E355" s="16" t="n">
        <x:v>0.35</x:v>
      </x:c>
      <x:c r="F355" s="15" t="n">
        <x:f>INDEX('Inputs'!$D$4:$D$6,MATCH(A355,'Inputs'!$A$4:$A$6,0))</x:f>
        <x:v>125</x:v>
      </x:c>
      <x:c r="G355" s="15" t="n">
        <x:f>INDEX('Inputs'!$E$4:$E$6,MATCH(A355,'Inputs'!$A$4:$A$6,0))</x:f>
        <x:v>85</x:v>
      </x:c>
      <x:c r="H355" s="15" t="n">
        <x:f>D355*(1-E355)</x:f>
        <x:v>324.35</x:v>
      </x:c>
      <x:c r="I355" s="15" t="n">
        <x:f>F355+G355</x:f>
        <x:v>210</x:v>
      </x:c>
      <x:c r="J355" s="15" t="n">
        <x:f>H355-I355</x:f>
        <x:v>114.35000000000002</x:v>
      </x:c>
      <x:c r="K355" s="16" t="n">
        <x:f>IFERROR(J355/H355,0)</x:f>
        <x:v>0.35255125635887163</x:v>
      </x:c>
      <x:c r="L355" s="14" t="str">
        <x:f>IF(J355&gt;0,"Provisional positive contribution","Not viable")</x:f>
        <x:v>Provisional positive contribution</x:v>
      </x:c>
    </x:row>
    <x:row r="356">
      <x:c r="A356" s="14" t="str">
        <x:v>240gsm Oversized</x:v>
      </x:c>
      <x:c r="B356" s="14" t="n">
        <x:v>25</x:v>
      </x:c>
      <x:c r="C356" s="15" t="n">
        <x:v>699</x:v>
      </x:c>
      <x:c r="D356" s="15" t="n">
        <x:v>349</x:v>
      </x:c>
      <x:c r="E356" s="16" t="n">
        <x:v>0.2</x:v>
      </x:c>
      <x:c r="F356" s="15" t="n">
        <x:f>INDEX('Inputs'!$D$4:$D$6,MATCH(A356,'Inputs'!$A$4:$A$6,0))</x:f>
        <x:v>125</x:v>
      </x:c>
      <x:c r="G356" s="15" t="n">
        <x:f>INDEX('Inputs'!$E$4:$E$6,MATCH(A356,'Inputs'!$A$4:$A$6,0))</x:f>
        <x:v>85</x:v>
      </x:c>
      <x:c r="H356" s="15" t="n">
        <x:f>D356*(1-E356)</x:f>
        <x:v>279.2</x:v>
      </x:c>
      <x:c r="I356" s="15" t="n">
        <x:f>F356+G356</x:f>
        <x:v>210</x:v>
      </x:c>
      <x:c r="J356" s="15" t="n">
        <x:f>H356-I356</x:f>
        <x:v>69.19999999999999</x:v>
      </x:c>
      <x:c r="K356" s="16" t="n">
        <x:f>IFERROR(J356/H356,0)</x:f>
        <x:v>0.2478510028653295</x:v>
      </x:c>
      <x:c r="L356" s="14" t="str">
        <x:f>IF(J356&gt;0,"Provisional positive contribution","Not viable")</x:f>
        <x:v>Provisional positive contribution</x:v>
      </x:c>
    </x:row>
    <x:row r="357">
      <x:c r="A357" s="14" t="str">
        <x:v>240gsm Oversized</x:v>
      </x:c>
      <x:c r="B357" s="14" t="n">
        <x:v>25</x:v>
      </x:c>
      <x:c r="C357" s="15" t="n">
        <x:v>699</x:v>
      </x:c>
      <x:c r="D357" s="15" t="n">
        <x:v>349</x:v>
      </x:c>
      <x:c r="E357" s="16" t="n">
        <x:v>0.25</x:v>
      </x:c>
      <x:c r="F357" s="15" t="n">
        <x:f>INDEX('Inputs'!$D$4:$D$6,MATCH(A357,'Inputs'!$A$4:$A$6,0))</x:f>
        <x:v>125</x:v>
      </x:c>
      <x:c r="G357" s="15" t="n">
        <x:f>INDEX('Inputs'!$E$4:$E$6,MATCH(A357,'Inputs'!$A$4:$A$6,0))</x:f>
        <x:v>85</x:v>
      </x:c>
      <x:c r="H357" s="15" t="n">
        <x:f>D357*(1-E357)</x:f>
        <x:v>261.75</x:v>
      </x:c>
      <x:c r="I357" s="15" t="n">
        <x:f>F357+G357</x:f>
        <x:v>210</x:v>
      </x:c>
      <x:c r="J357" s="15" t="n">
        <x:f>H357-I357</x:f>
        <x:v>51.75</x:v>
      </x:c>
      <x:c r="K357" s="16" t="n">
        <x:f>IFERROR(J357/H357,0)</x:f>
        <x:v>0.1977077363896848</x:v>
      </x:c>
      <x:c r="L357" s="14" t="str">
        <x:f>IF(J357&gt;0,"Provisional positive contribution","Not viable")</x:f>
        <x:v>Provisional positive contribution</x:v>
      </x:c>
    </x:row>
    <x:row r="358">
      <x:c r="A358" s="14" t="str">
        <x:v>240gsm Oversized</x:v>
      </x:c>
      <x:c r="B358" s="14" t="n">
        <x:v>25</x:v>
      </x:c>
      <x:c r="C358" s="15" t="n">
        <x:v>699</x:v>
      </x:c>
      <x:c r="D358" s="15" t="n">
        <x:v>349</x:v>
      </x:c>
      <x:c r="E358" s="16" t="n">
        <x:v>0.3</x:v>
      </x:c>
      <x:c r="F358" s="15" t="n">
        <x:f>INDEX('Inputs'!$D$4:$D$6,MATCH(A358,'Inputs'!$A$4:$A$6,0))</x:f>
        <x:v>125</x:v>
      </x:c>
      <x:c r="G358" s="15" t="n">
        <x:f>INDEX('Inputs'!$E$4:$E$6,MATCH(A358,'Inputs'!$A$4:$A$6,0))</x:f>
        <x:v>85</x:v>
      </x:c>
      <x:c r="H358" s="15" t="n">
        <x:f>D358*(1-E358)</x:f>
        <x:v>244.29999999999998</x:v>
      </x:c>
      <x:c r="I358" s="15" t="n">
        <x:f>F358+G358</x:f>
        <x:v>210</x:v>
      </x:c>
      <x:c r="J358" s="15" t="n">
        <x:f>H358-I358</x:f>
        <x:v>34.29999999999998</x:v>
      </x:c>
      <x:c r="K358" s="16" t="n">
        <x:f>IFERROR(J358/H358,0)</x:f>
        <x:v>0.1404011461318051</x:v>
      </x:c>
      <x:c r="L358" s="14" t="str">
        <x:f>IF(J358&gt;0,"Provisional positive contribution","Not viable")</x:f>
        <x:v>Provisional positive contribution</x:v>
      </x:c>
    </x:row>
    <x:row r="359">
      <x:c r="A359" s="14" t="str">
        <x:v>240gsm Oversized</x:v>
      </x:c>
      <x:c r="B359" s="14" t="n">
        <x:v>25</x:v>
      </x:c>
      <x:c r="C359" s="15" t="n">
        <x:v>699</x:v>
      </x:c>
      <x:c r="D359" s="15" t="n">
        <x:v>349</x:v>
      </x:c>
      <x:c r="E359" s="16" t="n">
        <x:v>0.35</x:v>
      </x:c>
      <x:c r="F359" s="15" t="n">
        <x:f>INDEX('Inputs'!$D$4:$D$6,MATCH(A359,'Inputs'!$A$4:$A$6,0))</x:f>
        <x:v>125</x:v>
      </x:c>
      <x:c r="G359" s="15" t="n">
        <x:f>INDEX('Inputs'!$E$4:$E$6,MATCH(A359,'Inputs'!$A$4:$A$6,0))</x:f>
        <x:v>85</x:v>
      </x:c>
      <x:c r="H359" s="15" t="n">
        <x:f>D359*(1-E359)</x:f>
        <x:v>226.85</x:v>
      </x:c>
      <x:c r="I359" s="15" t="n">
        <x:f>F359+G359</x:f>
        <x:v>210</x:v>
      </x:c>
      <x:c r="J359" s="15" t="n">
        <x:f>H359-I359</x:f>
        <x:v>16.849999999999994</x:v>
      </x:c>
      <x:c r="K359" s="16" t="n">
        <x:f>IFERROR(J359/H359,0)</x:f>
        <x:v>0.07427815737271322</x:v>
      </x:c>
      <x:c r="L359" s="14" t="str">
        <x:f>IF(J359&gt;0,"Provisional positive contribution","Not viable")</x:f>
        <x:v>Provisional positive contribution</x:v>
      </x:c>
    </x:row>
    <x:row r="360">
      <x:c r="A360" s="14" t="str">
        <x:v>240gsm Oversized</x:v>
      </x:c>
      <x:c r="B360" s="14" t="n">
        <x:v>25</x:v>
      </x:c>
      <x:c r="C360" s="15" t="n">
        <x:v>699</x:v>
      </x:c>
      <x:c r="D360" s="15" t="n">
        <x:v>399</x:v>
      </x:c>
      <x:c r="E360" s="16" t="n">
        <x:v>0.2</x:v>
      </x:c>
      <x:c r="F360" s="15" t="n">
        <x:f>INDEX('Inputs'!$D$4:$D$6,MATCH(A360,'Inputs'!$A$4:$A$6,0))</x:f>
        <x:v>125</x:v>
      </x:c>
      <x:c r="G360" s="15" t="n">
        <x:f>INDEX('Inputs'!$E$4:$E$6,MATCH(A360,'Inputs'!$A$4:$A$6,0))</x:f>
        <x:v>85</x:v>
      </x:c>
      <x:c r="H360" s="15" t="n">
        <x:f>D360*(1-E360)</x:f>
        <x:v>319.20000000000005</x:v>
      </x:c>
      <x:c r="I360" s="15" t="n">
        <x:f>F360+G360</x:f>
        <x:v>210</x:v>
      </x:c>
      <x:c r="J360" s="15" t="n">
        <x:f>H360-I360</x:f>
        <x:v>109.20000000000005</x:v>
      </x:c>
      <x:c r="K360" s="16" t="n">
        <x:f>IFERROR(J360/H360,0)</x:f>
        <x:v>0.34210526315789486</x:v>
      </x:c>
      <x:c r="L360" s="14" t="str">
        <x:f>IF(J360&gt;0,"Provisional positive contribution","Not viable")</x:f>
        <x:v>Provisional positive contribution</x:v>
      </x:c>
    </x:row>
    <x:row r="361">
      <x:c r="A361" s="14" t="str">
        <x:v>240gsm Oversized</x:v>
      </x:c>
      <x:c r="B361" s="14" t="n">
        <x:v>25</x:v>
      </x:c>
      <x:c r="C361" s="15" t="n">
        <x:v>699</x:v>
      </x:c>
      <x:c r="D361" s="15" t="n">
        <x:v>399</x:v>
      </x:c>
      <x:c r="E361" s="16" t="n">
        <x:v>0.25</x:v>
      </x:c>
      <x:c r="F361" s="15" t="n">
        <x:f>INDEX('Inputs'!$D$4:$D$6,MATCH(A361,'Inputs'!$A$4:$A$6,0))</x:f>
        <x:v>125</x:v>
      </x:c>
      <x:c r="G361" s="15" t="n">
        <x:f>INDEX('Inputs'!$E$4:$E$6,MATCH(A361,'Inputs'!$A$4:$A$6,0))</x:f>
        <x:v>85</x:v>
      </x:c>
      <x:c r="H361" s="15" t="n">
        <x:f>D361*(1-E361)</x:f>
        <x:v>299.25</x:v>
      </x:c>
      <x:c r="I361" s="15" t="n">
        <x:f>F361+G361</x:f>
        <x:v>210</x:v>
      </x:c>
      <x:c r="J361" s="15" t="n">
        <x:f>H361-I361</x:f>
        <x:v>89.25</x:v>
      </x:c>
      <x:c r="K361" s="16" t="n">
        <x:f>IFERROR(J361/H361,0)</x:f>
        <x:v>0.2982456140350877</x:v>
      </x:c>
      <x:c r="L361" s="14" t="str">
        <x:f>IF(J361&gt;0,"Provisional positive contribution","Not viable")</x:f>
        <x:v>Provisional positive contribution</x:v>
      </x:c>
    </x:row>
    <x:row r="362">
      <x:c r="A362" s="14" t="str">
        <x:v>240gsm Oversized</x:v>
      </x:c>
      <x:c r="B362" s="14" t="n">
        <x:v>25</x:v>
      </x:c>
      <x:c r="C362" s="15" t="n">
        <x:v>699</x:v>
      </x:c>
      <x:c r="D362" s="15" t="n">
        <x:v>399</x:v>
      </x:c>
      <x:c r="E362" s="16" t="n">
        <x:v>0.3</x:v>
      </x:c>
      <x:c r="F362" s="15" t="n">
        <x:f>INDEX('Inputs'!$D$4:$D$6,MATCH(A362,'Inputs'!$A$4:$A$6,0))</x:f>
        <x:v>125</x:v>
      </x:c>
      <x:c r="G362" s="15" t="n">
        <x:f>INDEX('Inputs'!$E$4:$E$6,MATCH(A362,'Inputs'!$A$4:$A$6,0))</x:f>
        <x:v>85</x:v>
      </x:c>
      <x:c r="H362" s="15" t="n">
        <x:f>D362*(1-E362)</x:f>
        <x:v>279.29999999999995</x:v>
      </x:c>
      <x:c r="I362" s="15" t="n">
        <x:f>F362+G362</x:f>
        <x:v>210</x:v>
      </x:c>
      <x:c r="J362" s="15" t="n">
        <x:f>H362-I362</x:f>
        <x:v>69.29999999999995</x:v>
      </x:c>
      <x:c r="K362" s="16" t="n">
        <x:f>IFERROR(J362/H362,0)</x:f>
        <x:v>0.24812030075187957</x:v>
      </x:c>
      <x:c r="L362" s="14" t="str">
        <x:f>IF(J362&gt;0,"Provisional positive contribution","Not viable")</x:f>
        <x:v>Provisional positive contribution</x:v>
      </x:c>
    </x:row>
    <x:row r="363">
      <x:c r="A363" s="14" t="str">
        <x:v>240gsm Oversized</x:v>
      </x:c>
      <x:c r="B363" s="14" t="n">
        <x:v>25</x:v>
      </x:c>
      <x:c r="C363" s="15" t="n">
        <x:v>699</x:v>
      </x:c>
      <x:c r="D363" s="15" t="n">
        <x:v>399</x:v>
      </x:c>
      <x:c r="E363" s="16" t="n">
        <x:v>0.35</x:v>
      </x:c>
      <x:c r="F363" s="15" t="n">
        <x:f>INDEX('Inputs'!$D$4:$D$6,MATCH(A363,'Inputs'!$A$4:$A$6,0))</x:f>
        <x:v>125</x:v>
      </x:c>
      <x:c r="G363" s="15" t="n">
        <x:f>INDEX('Inputs'!$E$4:$E$6,MATCH(A363,'Inputs'!$A$4:$A$6,0))</x:f>
        <x:v>85</x:v>
      </x:c>
      <x:c r="H363" s="15" t="n">
        <x:f>D363*(1-E363)</x:f>
        <x:v>259.35</x:v>
      </x:c>
      <x:c r="I363" s="15" t="n">
        <x:f>F363+G363</x:f>
        <x:v>210</x:v>
      </x:c>
      <x:c r="J363" s="15" t="n">
        <x:f>H363-I363</x:f>
        <x:v>49.35000000000002</x:v>
      </x:c>
      <x:c r="K363" s="16" t="n">
        <x:f>IFERROR(J363/H363,0)</x:f>
        <x:v>0.19028340080971667</x:v>
      </x:c>
      <x:c r="L363" s="14" t="str">
        <x:f>IF(J363&gt;0,"Provisional positive contribution","Not viable")</x:f>
        <x:v>Provisional positive contribution</x:v>
      </x:c>
    </x:row>
    <x:row r="364">
      <x:c r="A364" s="14" t="str">
        <x:v>240gsm Oversized</x:v>
      </x:c>
      <x:c r="B364" s="14" t="n">
        <x:v>25</x:v>
      </x:c>
      <x:c r="C364" s="15" t="n">
        <x:v>699</x:v>
      </x:c>
      <x:c r="D364" s="15" t="n">
        <x:v>449</x:v>
      </x:c>
      <x:c r="E364" s="16" t="n">
        <x:v>0.2</x:v>
      </x:c>
      <x:c r="F364" s="15" t="n">
        <x:f>INDEX('Inputs'!$D$4:$D$6,MATCH(A364,'Inputs'!$A$4:$A$6,0))</x:f>
        <x:v>125</x:v>
      </x:c>
      <x:c r="G364" s="15" t="n">
        <x:f>INDEX('Inputs'!$E$4:$E$6,MATCH(A364,'Inputs'!$A$4:$A$6,0))</x:f>
        <x:v>85</x:v>
      </x:c>
      <x:c r="H364" s="15" t="n">
        <x:f>D364*(1-E364)</x:f>
        <x:v>359.20000000000005</x:v>
      </x:c>
      <x:c r="I364" s="15" t="n">
        <x:f>F364+G364</x:f>
        <x:v>210</x:v>
      </x:c>
      <x:c r="J364" s="15" t="n">
        <x:f>H364-I364</x:f>
        <x:v>149.20000000000005</x:v>
      </x:c>
      <x:c r="K364" s="16" t="n">
        <x:f>IFERROR(J364/H364,0)</x:f>
        <x:v>0.41536748329621387</x:v>
      </x:c>
      <x:c r="L364" s="14" t="str">
        <x:f>IF(J364&gt;0,"Provisional positive contribution","Not viable")</x:f>
        <x:v>Provisional positive contribution</x:v>
      </x:c>
    </x:row>
    <x:row r="365">
      <x:c r="A365" s="14" t="str">
        <x:v>240gsm Oversized</x:v>
      </x:c>
      <x:c r="B365" s="14" t="n">
        <x:v>25</x:v>
      </x:c>
      <x:c r="C365" s="15" t="n">
        <x:v>699</x:v>
      </x:c>
      <x:c r="D365" s="15" t="n">
        <x:v>449</x:v>
      </x:c>
      <x:c r="E365" s="16" t="n">
        <x:v>0.25</x:v>
      </x:c>
      <x:c r="F365" s="15" t="n">
        <x:f>INDEX('Inputs'!$D$4:$D$6,MATCH(A365,'Inputs'!$A$4:$A$6,0))</x:f>
        <x:v>125</x:v>
      </x:c>
      <x:c r="G365" s="15" t="n">
        <x:f>INDEX('Inputs'!$E$4:$E$6,MATCH(A365,'Inputs'!$A$4:$A$6,0))</x:f>
        <x:v>85</x:v>
      </x:c>
      <x:c r="H365" s="15" t="n">
        <x:f>D365*(1-E365)</x:f>
        <x:v>336.75</x:v>
      </x:c>
      <x:c r="I365" s="15" t="n">
        <x:f>F365+G365</x:f>
        <x:v>210</x:v>
      </x:c>
      <x:c r="J365" s="15" t="n">
        <x:f>H365-I365</x:f>
        <x:v>126.75</x:v>
      </x:c>
      <x:c r="K365" s="16" t="n">
        <x:f>IFERROR(J365/H365,0)</x:f>
        <x:v>0.37639198218262804</x:v>
      </x:c>
      <x:c r="L365" s="14" t="str">
        <x:f>IF(J365&gt;0,"Provisional positive contribution","Not viable")</x:f>
        <x:v>Provisional positive contribution</x:v>
      </x:c>
    </x:row>
    <x:row r="366">
      <x:c r="A366" s="14" t="str">
        <x:v>240gsm Oversized</x:v>
      </x:c>
      <x:c r="B366" s="14" t="n">
        <x:v>25</x:v>
      </x:c>
      <x:c r="C366" s="15" t="n">
        <x:v>699</x:v>
      </x:c>
      <x:c r="D366" s="15" t="n">
        <x:v>449</x:v>
      </x:c>
      <x:c r="E366" s="16" t="n">
        <x:v>0.3</x:v>
      </x:c>
      <x:c r="F366" s="15" t="n">
        <x:f>INDEX('Inputs'!$D$4:$D$6,MATCH(A366,'Inputs'!$A$4:$A$6,0))</x:f>
        <x:v>125</x:v>
      </x:c>
      <x:c r="G366" s="15" t="n">
        <x:f>INDEX('Inputs'!$E$4:$E$6,MATCH(A366,'Inputs'!$A$4:$A$6,0))</x:f>
        <x:v>85</x:v>
      </x:c>
      <x:c r="H366" s="15" t="n">
        <x:f>D366*(1-E366)</x:f>
        <x:v>314.29999999999995</x:v>
      </x:c>
      <x:c r="I366" s="15" t="n">
        <x:f>F366+G366</x:f>
        <x:v>210</x:v>
      </x:c>
      <x:c r="J366" s="15" t="n">
        <x:f>H366-I366</x:f>
        <x:v>104.29999999999995</x:v>
      </x:c>
      <x:c r="K366" s="16" t="n">
        <x:f>IFERROR(J366/H366,0)</x:f>
        <x:v>0.33184855233852995</x:v>
      </x:c>
      <x:c r="L366" s="14" t="str">
        <x:f>IF(J366&gt;0,"Provisional positive contribution","Not viable")</x:f>
        <x:v>Provisional positive contribution</x:v>
      </x:c>
    </x:row>
    <x:row r="367">
      <x:c r="A367" s="14" t="str">
        <x:v>240gsm Oversized</x:v>
      </x:c>
      <x:c r="B367" s="14" t="n">
        <x:v>25</x:v>
      </x:c>
      <x:c r="C367" s="15" t="n">
        <x:v>699</x:v>
      </x:c>
      <x:c r="D367" s="15" t="n">
        <x:v>449</x:v>
      </x:c>
      <x:c r="E367" s="16" t="n">
        <x:v>0.35</x:v>
      </x:c>
      <x:c r="F367" s="15" t="n">
        <x:f>INDEX('Inputs'!$D$4:$D$6,MATCH(A367,'Inputs'!$A$4:$A$6,0))</x:f>
        <x:v>125</x:v>
      </x:c>
      <x:c r="G367" s="15" t="n">
        <x:f>INDEX('Inputs'!$E$4:$E$6,MATCH(A367,'Inputs'!$A$4:$A$6,0))</x:f>
        <x:v>85</x:v>
      </x:c>
      <x:c r="H367" s="15" t="n">
        <x:f>D367*(1-E367)</x:f>
        <x:v>291.85</x:v>
      </x:c>
      <x:c r="I367" s="15" t="n">
        <x:f>F367+G367</x:f>
        <x:v>210</x:v>
      </x:c>
      <x:c r="J367" s="15" t="n">
        <x:f>H367-I367</x:f>
        <x:v>81.85000000000002</x:v>
      </x:c>
      <x:c r="K367" s="16" t="n">
        <x:f>IFERROR(J367/H367,0)</x:f>
        <x:v>0.28045228713380166</x:v>
      </x:c>
      <x:c r="L367" s="14" t="str">
        <x:f>IF(J367&gt;0,"Provisional positive contribution","Not viable")</x:f>
        <x:v>Provisional positive contribution</x:v>
      </x:c>
    </x:row>
    <x:row r="368">
      <x:c r="A368" s="14" t="str">
        <x:v>240gsm Oversized</x:v>
      </x:c>
      <x:c r="B368" s="14" t="n">
        <x:v>25</x:v>
      </x:c>
      <x:c r="C368" s="15" t="n">
        <x:v>699</x:v>
      </x:c>
      <x:c r="D368" s="15" t="n">
        <x:v>499</x:v>
      </x:c>
      <x:c r="E368" s="16" t="n">
        <x:v>0.2</x:v>
      </x:c>
      <x:c r="F368" s="15" t="n">
        <x:f>INDEX('Inputs'!$D$4:$D$6,MATCH(A368,'Inputs'!$A$4:$A$6,0))</x:f>
        <x:v>125</x:v>
      </x:c>
      <x:c r="G368" s="15" t="n">
        <x:f>INDEX('Inputs'!$E$4:$E$6,MATCH(A368,'Inputs'!$A$4:$A$6,0))</x:f>
        <x:v>85</x:v>
      </x:c>
      <x:c r="H368" s="15" t="n">
        <x:f>D368*(1-E368)</x:f>
        <x:v>399.20000000000005</x:v>
      </x:c>
      <x:c r="I368" s="15" t="n">
        <x:f>F368+G368</x:f>
        <x:v>210</x:v>
      </x:c>
      <x:c r="J368" s="15" t="n">
        <x:f>H368-I368</x:f>
        <x:v>189.20000000000005</x:v>
      </x:c>
      <x:c r="K368" s="16" t="n">
        <x:f>IFERROR(J368/H368,0)</x:f>
        <x:v>0.47394789579158325</x:v>
      </x:c>
      <x:c r="L368" s="14" t="str">
        <x:f>IF(J368&gt;0,"Provisional positive contribution","Not viable")</x:f>
        <x:v>Provisional positive contribution</x:v>
      </x:c>
    </x:row>
    <x:row r="369">
      <x:c r="A369" s="14" t="str">
        <x:v>240gsm Oversized</x:v>
      </x:c>
      <x:c r="B369" s="14" t="n">
        <x:v>25</x:v>
      </x:c>
      <x:c r="C369" s="15" t="n">
        <x:v>699</x:v>
      </x:c>
      <x:c r="D369" s="15" t="n">
        <x:v>499</x:v>
      </x:c>
      <x:c r="E369" s="16" t="n">
        <x:v>0.25</x:v>
      </x:c>
      <x:c r="F369" s="15" t="n">
        <x:f>INDEX('Inputs'!$D$4:$D$6,MATCH(A369,'Inputs'!$A$4:$A$6,0))</x:f>
        <x:v>125</x:v>
      </x:c>
      <x:c r="G369" s="15" t="n">
        <x:f>INDEX('Inputs'!$E$4:$E$6,MATCH(A369,'Inputs'!$A$4:$A$6,0))</x:f>
        <x:v>85</x:v>
      </x:c>
      <x:c r="H369" s="15" t="n">
        <x:f>D369*(1-E369)</x:f>
        <x:v>374.25</x:v>
      </x:c>
      <x:c r="I369" s="15" t="n">
        <x:f>F369+G369</x:f>
        <x:v>210</x:v>
      </x:c>
      <x:c r="J369" s="15" t="n">
        <x:f>H369-I369</x:f>
        <x:v>164.25</x:v>
      </x:c>
      <x:c r="K369" s="16" t="n">
        <x:f>IFERROR(J369/H369,0)</x:f>
        <x:v>0.43887775551102204</x:v>
      </x:c>
      <x:c r="L369" s="14" t="str">
        <x:f>IF(J369&gt;0,"Provisional positive contribution","Not viable")</x:f>
        <x:v>Provisional positive contribution</x:v>
      </x:c>
    </x:row>
    <x:row r="370">
      <x:c r="A370" s="14" t="str">
        <x:v>240gsm Oversized</x:v>
      </x:c>
      <x:c r="B370" s="14" t="n">
        <x:v>25</x:v>
      </x:c>
      <x:c r="C370" s="15" t="n">
        <x:v>699</x:v>
      </x:c>
      <x:c r="D370" s="15" t="n">
        <x:v>499</x:v>
      </x:c>
      <x:c r="E370" s="16" t="n">
        <x:v>0.3</x:v>
      </x:c>
      <x:c r="F370" s="15" t="n">
        <x:f>INDEX('Inputs'!$D$4:$D$6,MATCH(A370,'Inputs'!$A$4:$A$6,0))</x:f>
        <x:v>125</x:v>
      </x:c>
      <x:c r="G370" s="15" t="n">
        <x:f>INDEX('Inputs'!$E$4:$E$6,MATCH(A370,'Inputs'!$A$4:$A$6,0))</x:f>
        <x:v>85</x:v>
      </x:c>
      <x:c r="H370" s="15" t="n">
        <x:f>D370*(1-E370)</x:f>
        <x:v>349.29999999999995</x:v>
      </x:c>
      <x:c r="I370" s="15" t="n">
        <x:f>F370+G370</x:f>
        <x:v>210</x:v>
      </x:c>
      <x:c r="J370" s="15" t="n">
        <x:f>H370-I370</x:f>
        <x:v>139.29999999999995</x:v>
      </x:c>
      <x:c r="K370" s="16" t="n">
        <x:f>IFERROR(J370/H370,0)</x:f>
        <x:v>0.39879759519038066</x:v>
      </x:c>
      <x:c r="L370" s="14" t="str">
        <x:f>IF(J370&gt;0,"Provisional positive contribution","Not viable")</x:f>
        <x:v>Provisional positive contribution</x:v>
      </x:c>
    </x:row>
    <x:row r="371">
      <x:c r="A371" s="14" t="str">
        <x:v>240gsm Oversized</x:v>
      </x:c>
      <x:c r="B371" s="14" t="n">
        <x:v>25</x:v>
      </x:c>
      <x:c r="C371" s="15" t="n">
        <x:v>699</x:v>
      </x:c>
      <x:c r="D371" s="15" t="n">
        <x:v>499</x:v>
      </x:c>
      <x:c r="E371" s="16" t="n">
        <x:v>0.35</x:v>
      </x:c>
      <x:c r="F371" s="15" t="n">
        <x:f>INDEX('Inputs'!$D$4:$D$6,MATCH(A371,'Inputs'!$A$4:$A$6,0))</x:f>
        <x:v>125</x:v>
      </x:c>
      <x:c r="G371" s="15" t="n">
        <x:f>INDEX('Inputs'!$E$4:$E$6,MATCH(A371,'Inputs'!$A$4:$A$6,0))</x:f>
        <x:v>85</x:v>
      </x:c>
      <x:c r="H371" s="15" t="n">
        <x:f>D371*(1-E371)</x:f>
        <x:v>324.35</x:v>
      </x:c>
      <x:c r="I371" s="15" t="n">
        <x:f>F371+G371</x:f>
        <x:v>210</x:v>
      </x:c>
      <x:c r="J371" s="15" t="n">
        <x:f>H371-I371</x:f>
        <x:v>114.35000000000002</x:v>
      </x:c>
      <x:c r="K371" s="16" t="n">
        <x:f>IFERROR(J371/H371,0)</x:f>
        <x:v>0.35255125635887163</x:v>
      </x:c>
      <x:c r="L371" s="14" t="str">
        <x:f>IF(J371&gt;0,"Provisional positive contribution","Not viable")</x:f>
        <x:v>Provisional positive contribution</x:v>
      </x:c>
    </x:row>
    <x:row r="372">
      <x:c r="A372" s="14" t="str">
        <x:v>240gsm Oversized</x:v>
      </x:c>
      <x:c r="B372" s="14" t="n">
        <x:v>25</x:v>
      </x:c>
      <x:c r="C372" s="15" t="n">
        <x:v>749</x:v>
      </x:c>
      <x:c r="D372" s="15" t="n">
        <x:v>349</x:v>
      </x:c>
      <x:c r="E372" s="16" t="n">
        <x:v>0.2</x:v>
      </x:c>
      <x:c r="F372" s="15" t="n">
        <x:f>INDEX('Inputs'!$D$4:$D$6,MATCH(A372,'Inputs'!$A$4:$A$6,0))</x:f>
        <x:v>125</x:v>
      </x:c>
      <x:c r="G372" s="15" t="n">
        <x:f>INDEX('Inputs'!$E$4:$E$6,MATCH(A372,'Inputs'!$A$4:$A$6,0))</x:f>
        <x:v>85</x:v>
      </x:c>
      <x:c r="H372" s="15" t="n">
        <x:f>D372*(1-E372)</x:f>
        <x:v>279.2</x:v>
      </x:c>
      <x:c r="I372" s="15" t="n">
        <x:f>F372+G372</x:f>
        <x:v>210</x:v>
      </x:c>
      <x:c r="J372" s="15" t="n">
        <x:f>H372-I372</x:f>
        <x:v>69.19999999999999</x:v>
      </x:c>
      <x:c r="K372" s="16" t="n">
        <x:f>IFERROR(J372/H372,0)</x:f>
        <x:v>0.2478510028653295</x:v>
      </x:c>
      <x:c r="L372" s="14" t="str">
        <x:f>IF(J372&gt;0,"Provisional positive contribution","Not viable")</x:f>
        <x:v>Provisional positive contribution</x:v>
      </x:c>
    </x:row>
    <x:row r="373">
      <x:c r="A373" s="14" t="str">
        <x:v>240gsm Oversized</x:v>
      </x:c>
      <x:c r="B373" s="14" t="n">
        <x:v>25</x:v>
      </x:c>
      <x:c r="C373" s="15" t="n">
        <x:v>749</x:v>
      </x:c>
      <x:c r="D373" s="15" t="n">
        <x:v>349</x:v>
      </x:c>
      <x:c r="E373" s="16" t="n">
        <x:v>0.25</x:v>
      </x:c>
      <x:c r="F373" s="15" t="n">
        <x:f>INDEX('Inputs'!$D$4:$D$6,MATCH(A373,'Inputs'!$A$4:$A$6,0))</x:f>
        <x:v>125</x:v>
      </x:c>
      <x:c r="G373" s="15" t="n">
        <x:f>INDEX('Inputs'!$E$4:$E$6,MATCH(A373,'Inputs'!$A$4:$A$6,0))</x:f>
        <x:v>85</x:v>
      </x:c>
      <x:c r="H373" s="15" t="n">
        <x:f>D373*(1-E373)</x:f>
        <x:v>261.75</x:v>
      </x:c>
      <x:c r="I373" s="15" t="n">
        <x:f>F373+G373</x:f>
        <x:v>210</x:v>
      </x:c>
      <x:c r="J373" s="15" t="n">
        <x:f>H373-I373</x:f>
        <x:v>51.75</x:v>
      </x:c>
      <x:c r="K373" s="16" t="n">
        <x:f>IFERROR(J373/H373,0)</x:f>
        <x:v>0.1977077363896848</x:v>
      </x:c>
      <x:c r="L373" s="14" t="str">
        <x:f>IF(J373&gt;0,"Provisional positive contribution","Not viable")</x:f>
        <x:v>Provisional positive contribution</x:v>
      </x:c>
    </x:row>
    <x:row r="374">
      <x:c r="A374" s="14" t="str">
        <x:v>240gsm Oversized</x:v>
      </x:c>
      <x:c r="B374" s="14" t="n">
        <x:v>25</x:v>
      </x:c>
      <x:c r="C374" s="15" t="n">
        <x:v>749</x:v>
      </x:c>
      <x:c r="D374" s="15" t="n">
        <x:v>349</x:v>
      </x:c>
      <x:c r="E374" s="16" t="n">
        <x:v>0.3</x:v>
      </x:c>
      <x:c r="F374" s="15" t="n">
        <x:f>INDEX('Inputs'!$D$4:$D$6,MATCH(A374,'Inputs'!$A$4:$A$6,0))</x:f>
        <x:v>125</x:v>
      </x:c>
      <x:c r="G374" s="15" t="n">
        <x:f>INDEX('Inputs'!$E$4:$E$6,MATCH(A374,'Inputs'!$A$4:$A$6,0))</x:f>
        <x:v>85</x:v>
      </x:c>
      <x:c r="H374" s="15" t="n">
        <x:f>D374*(1-E374)</x:f>
        <x:v>244.29999999999998</x:v>
      </x:c>
      <x:c r="I374" s="15" t="n">
        <x:f>F374+G374</x:f>
        <x:v>210</x:v>
      </x:c>
      <x:c r="J374" s="15" t="n">
        <x:f>H374-I374</x:f>
        <x:v>34.29999999999998</x:v>
      </x:c>
      <x:c r="K374" s="16" t="n">
        <x:f>IFERROR(J374/H374,0)</x:f>
        <x:v>0.1404011461318051</x:v>
      </x:c>
      <x:c r="L374" s="14" t="str">
        <x:f>IF(J374&gt;0,"Provisional positive contribution","Not viable")</x:f>
        <x:v>Provisional positive contribution</x:v>
      </x:c>
    </x:row>
    <x:row r="375">
      <x:c r="A375" s="14" t="str">
        <x:v>240gsm Oversized</x:v>
      </x:c>
      <x:c r="B375" s="14" t="n">
        <x:v>25</x:v>
      </x:c>
      <x:c r="C375" s="15" t="n">
        <x:v>749</x:v>
      </x:c>
      <x:c r="D375" s="15" t="n">
        <x:v>349</x:v>
      </x:c>
      <x:c r="E375" s="16" t="n">
        <x:v>0.35</x:v>
      </x:c>
      <x:c r="F375" s="15" t="n">
        <x:f>INDEX('Inputs'!$D$4:$D$6,MATCH(A375,'Inputs'!$A$4:$A$6,0))</x:f>
        <x:v>125</x:v>
      </x:c>
      <x:c r="G375" s="15" t="n">
        <x:f>INDEX('Inputs'!$E$4:$E$6,MATCH(A375,'Inputs'!$A$4:$A$6,0))</x:f>
        <x:v>85</x:v>
      </x:c>
      <x:c r="H375" s="15" t="n">
        <x:f>D375*(1-E375)</x:f>
        <x:v>226.85</x:v>
      </x:c>
      <x:c r="I375" s="15" t="n">
        <x:f>F375+G375</x:f>
        <x:v>210</x:v>
      </x:c>
      <x:c r="J375" s="15" t="n">
        <x:f>H375-I375</x:f>
        <x:v>16.849999999999994</x:v>
      </x:c>
      <x:c r="K375" s="16" t="n">
        <x:f>IFERROR(J375/H375,0)</x:f>
        <x:v>0.07427815737271322</x:v>
      </x:c>
      <x:c r="L375" s="14" t="str">
        <x:f>IF(J375&gt;0,"Provisional positive contribution","Not viable")</x:f>
        <x:v>Provisional positive contribution</x:v>
      </x:c>
    </x:row>
    <x:row r="376">
      <x:c r="A376" s="14" t="str">
        <x:v>240gsm Oversized</x:v>
      </x:c>
      <x:c r="B376" s="14" t="n">
        <x:v>25</x:v>
      </x:c>
      <x:c r="C376" s="15" t="n">
        <x:v>749</x:v>
      </x:c>
      <x:c r="D376" s="15" t="n">
        <x:v>399</x:v>
      </x:c>
      <x:c r="E376" s="16" t="n">
        <x:v>0.2</x:v>
      </x:c>
      <x:c r="F376" s="15" t="n">
        <x:f>INDEX('Inputs'!$D$4:$D$6,MATCH(A376,'Inputs'!$A$4:$A$6,0))</x:f>
        <x:v>125</x:v>
      </x:c>
      <x:c r="G376" s="15" t="n">
        <x:f>INDEX('Inputs'!$E$4:$E$6,MATCH(A376,'Inputs'!$A$4:$A$6,0))</x:f>
        <x:v>85</x:v>
      </x:c>
      <x:c r="H376" s="15" t="n">
        <x:f>D376*(1-E376)</x:f>
        <x:v>319.20000000000005</x:v>
      </x:c>
      <x:c r="I376" s="15" t="n">
        <x:f>F376+G376</x:f>
        <x:v>210</x:v>
      </x:c>
      <x:c r="J376" s="15" t="n">
        <x:f>H376-I376</x:f>
        <x:v>109.20000000000005</x:v>
      </x:c>
      <x:c r="K376" s="16" t="n">
        <x:f>IFERROR(J376/H376,0)</x:f>
        <x:v>0.34210526315789486</x:v>
      </x:c>
      <x:c r="L376" s="14" t="str">
        <x:f>IF(J376&gt;0,"Provisional positive contribution","Not viable")</x:f>
        <x:v>Provisional positive contribution</x:v>
      </x:c>
    </x:row>
    <x:row r="377">
      <x:c r="A377" s="14" t="str">
        <x:v>240gsm Oversized</x:v>
      </x:c>
      <x:c r="B377" s="14" t="n">
        <x:v>25</x:v>
      </x:c>
      <x:c r="C377" s="15" t="n">
        <x:v>749</x:v>
      </x:c>
      <x:c r="D377" s="15" t="n">
        <x:v>399</x:v>
      </x:c>
      <x:c r="E377" s="16" t="n">
        <x:v>0.25</x:v>
      </x:c>
      <x:c r="F377" s="15" t="n">
        <x:f>INDEX('Inputs'!$D$4:$D$6,MATCH(A377,'Inputs'!$A$4:$A$6,0))</x:f>
        <x:v>125</x:v>
      </x:c>
      <x:c r="G377" s="15" t="n">
        <x:f>INDEX('Inputs'!$E$4:$E$6,MATCH(A377,'Inputs'!$A$4:$A$6,0))</x:f>
        <x:v>85</x:v>
      </x:c>
      <x:c r="H377" s="15" t="n">
        <x:f>D377*(1-E377)</x:f>
        <x:v>299.25</x:v>
      </x:c>
      <x:c r="I377" s="15" t="n">
        <x:f>F377+G377</x:f>
        <x:v>210</x:v>
      </x:c>
      <x:c r="J377" s="15" t="n">
        <x:f>H377-I377</x:f>
        <x:v>89.25</x:v>
      </x:c>
      <x:c r="K377" s="16" t="n">
        <x:f>IFERROR(J377/H377,0)</x:f>
        <x:v>0.2982456140350877</x:v>
      </x:c>
      <x:c r="L377" s="14" t="str">
        <x:f>IF(J377&gt;0,"Provisional positive contribution","Not viable")</x:f>
        <x:v>Provisional positive contribution</x:v>
      </x:c>
    </x:row>
    <x:row r="378">
      <x:c r="A378" s="14" t="str">
        <x:v>240gsm Oversized</x:v>
      </x:c>
      <x:c r="B378" s="14" t="n">
        <x:v>25</x:v>
      </x:c>
      <x:c r="C378" s="15" t="n">
        <x:v>749</x:v>
      </x:c>
      <x:c r="D378" s="15" t="n">
        <x:v>399</x:v>
      </x:c>
      <x:c r="E378" s="16" t="n">
        <x:v>0.3</x:v>
      </x:c>
      <x:c r="F378" s="15" t="n">
        <x:f>INDEX('Inputs'!$D$4:$D$6,MATCH(A378,'Inputs'!$A$4:$A$6,0))</x:f>
        <x:v>125</x:v>
      </x:c>
      <x:c r="G378" s="15" t="n">
        <x:f>INDEX('Inputs'!$E$4:$E$6,MATCH(A378,'Inputs'!$A$4:$A$6,0))</x:f>
        <x:v>85</x:v>
      </x:c>
      <x:c r="H378" s="15" t="n">
        <x:f>D378*(1-E378)</x:f>
        <x:v>279.29999999999995</x:v>
      </x:c>
      <x:c r="I378" s="15" t="n">
        <x:f>F378+G378</x:f>
        <x:v>210</x:v>
      </x:c>
      <x:c r="J378" s="15" t="n">
        <x:f>H378-I378</x:f>
        <x:v>69.29999999999995</x:v>
      </x:c>
      <x:c r="K378" s="16" t="n">
        <x:f>IFERROR(J378/H378,0)</x:f>
        <x:v>0.24812030075187957</x:v>
      </x:c>
      <x:c r="L378" s="14" t="str">
        <x:f>IF(J378&gt;0,"Provisional positive contribution","Not viable")</x:f>
        <x:v>Provisional positive contribution</x:v>
      </x:c>
    </x:row>
    <x:row r="379">
      <x:c r="A379" s="14" t="str">
        <x:v>240gsm Oversized</x:v>
      </x:c>
      <x:c r="B379" s="14" t="n">
        <x:v>25</x:v>
      </x:c>
      <x:c r="C379" s="15" t="n">
        <x:v>749</x:v>
      </x:c>
      <x:c r="D379" s="15" t="n">
        <x:v>399</x:v>
      </x:c>
      <x:c r="E379" s="16" t="n">
        <x:v>0.35</x:v>
      </x:c>
      <x:c r="F379" s="15" t="n">
        <x:f>INDEX('Inputs'!$D$4:$D$6,MATCH(A379,'Inputs'!$A$4:$A$6,0))</x:f>
        <x:v>125</x:v>
      </x:c>
      <x:c r="G379" s="15" t="n">
        <x:f>INDEX('Inputs'!$E$4:$E$6,MATCH(A379,'Inputs'!$A$4:$A$6,0))</x:f>
        <x:v>85</x:v>
      </x:c>
      <x:c r="H379" s="15" t="n">
        <x:f>D379*(1-E379)</x:f>
        <x:v>259.35</x:v>
      </x:c>
      <x:c r="I379" s="15" t="n">
        <x:f>F379+G379</x:f>
        <x:v>210</x:v>
      </x:c>
      <x:c r="J379" s="15" t="n">
        <x:f>H379-I379</x:f>
        <x:v>49.35000000000002</x:v>
      </x:c>
      <x:c r="K379" s="16" t="n">
        <x:f>IFERROR(J379/H379,0)</x:f>
        <x:v>0.19028340080971667</x:v>
      </x:c>
      <x:c r="L379" s="14" t="str">
        <x:f>IF(J379&gt;0,"Provisional positive contribution","Not viable")</x:f>
        <x:v>Provisional positive contribution</x:v>
      </x:c>
    </x:row>
    <x:row r="380">
      <x:c r="A380" s="14" t="str">
        <x:v>240gsm Oversized</x:v>
      </x:c>
      <x:c r="B380" s="14" t="n">
        <x:v>25</x:v>
      </x:c>
      <x:c r="C380" s="15" t="n">
        <x:v>749</x:v>
      </x:c>
      <x:c r="D380" s="15" t="n">
        <x:v>449</x:v>
      </x:c>
      <x:c r="E380" s="16" t="n">
        <x:v>0.2</x:v>
      </x:c>
      <x:c r="F380" s="15" t="n">
        <x:f>INDEX('Inputs'!$D$4:$D$6,MATCH(A380,'Inputs'!$A$4:$A$6,0))</x:f>
        <x:v>125</x:v>
      </x:c>
      <x:c r="G380" s="15" t="n">
        <x:f>INDEX('Inputs'!$E$4:$E$6,MATCH(A380,'Inputs'!$A$4:$A$6,0))</x:f>
        <x:v>85</x:v>
      </x:c>
      <x:c r="H380" s="15" t="n">
        <x:f>D380*(1-E380)</x:f>
        <x:v>359.20000000000005</x:v>
      </x:c>
      <x:c r="I380" s="15" t="n">
        <x:f>F380+G380</x:f>
        <x:v>210</x:v>
      </x:c>
      <x:c r="J380" s="15" t="n">
        <x:f>H380-I380</x:f>
        <x:v>149.20000000000005</x:v>
      </x:c>
      <x:c r="K380" s="16" t="n">
        <x:f>IFERROR(J380/H380,0)</x:f>
        <x:v>0.41536748329621387</x:v>
      </x:c>
      <x:c r="L380" s="14" t="str">
        <x:f>IF(J380&gt;0,"Provisional positive contribution","Not viable")</x:f>
        <x:v>Provisional positive contribution</x:v>
      </x:c>
    </x:row>
    <x:row r="381">
      <x:c r="A381" s="14" t="str">
        <x:v>240gsm Oversized</x:v>
      </x:c>
      <x:c r="B381" s="14" t="n">
        <x:v>25</x:v>
      </x:c>
      <x:c r="C381" s="15" t="n">
        <x:v>749</x:v>
      </x:c>
      <x:c r="D381" s="15" t="n">
        <x:v>449</x:v>
      </x:c>
      <x:c r="E381" s="16" t="n">
        <x:v>0.25</x:v>
      </x:c>
      <x:c r="F381" s="15" t="n">
        <x:f>INDEX('Inputs'!$D$4:$D$6,MATCH(A381,'Inputs'!$A$4:$A$6,0))</x:f>
        <x:v>125</x:v>
      </x:c>
      <x:c r="G381" s="15" t="n">
        <x:f>INDEX('Inputs'!$E$4:$E$6,MATCH(A381,'Inputs'!$A$4:$A$6,0))</x:f>
        <x:v>85</x:v>
      </x:c>
      <x:c r="H381" s="15" t="n">
        <x:f>D381*(1-E381)</x:f>
        <x:v>336.75</x:v>
      </x:c>
      <x:c r="I381" s="15" t="n">
        <x:f>F381+G381</x:f>
        <x:v>210</x:v>
      </x:c>
      <x:c r="J381" s="15" t="n">
        <x:f>H381-I381</x:f>
        <x:v>126.75</x:v>
      </x:c>
      <x:c r="K381" s="16" t="n">
        <x:f>IFERROR(J381/H381,0)</x:f>
        <x:v>0.37639198218262804</x:v>
      </x:c>
      <x:c r="L381" s="14" t="str">
        <x:f>IF(J381&gt;0,"Provisional positive contribution","Not viable")</x:f>
        <x:v>Provisional positive contribution</x:v>
      </x:c>
    </x:row>
    <x:row r="382">
      <x:c r="A382" s="14" t="str">
        <x:v>240gsm Oversized</x:v>
      </x:c>
      <x:c r="B382" s="14" t="n">
        <x:v>25</x:v>
      </x:c>
      <x:c r="C382" s="15" t="n">
        <x:v>749</x:v>
      </x:c>
      <x:c r="D382" s="15" t="n">
        <x:v>449</x:v>
      </x:c>
      <x:c r="E382" s="16" t="n">
        <x:v>0.3</x:v>
      </x:c>
      <x:c r="F382" s="15" t="n">
        <x:f>INDEX('Inputs'!$D$4:$D$6,MATCH(A382,'Inputs'!$A$4:$A$6,0))</x:f>
        <x:v>125</x:v>
      </x:c>
      <x:c r="G382" s="15" t="n">
        <x:f>INDEX('Inputs'!$E$4:$E$6,MATCH(A382,'Inputs'!$A$4:$A$6,0))</x:f>
        <x:v>85</x:v>
      </x:c>
      <x:c r="H382" s="15" t="n">
        <x:f>D382*(1-E382)</x:f>
        <x:v>314.29999999999995</x:v>
      </x:c>
      <x:c r="I382" s="15" t="n">
        <x:f>F382+G382</x:f>
        <x:v>210</x:v>
      </x:c>
      <x:c r="J382" s="15" t="n">
        <x:f>H382-I382</x:f>
        <x:v>104.29999999999995</x:v>
      </x:c>
      <x:c r="K382" s="16" t="n">
        <x:f>IFERROR(J382/H382,0)</x:f>
        <x:v>0.33184855233852995</x:v>
      </x:c>
      <x:c r="L382" s="14" t="str">
        <x:f>IF(J382&gt;0,"Provisional positive contribution","Not viable")</x:f>
        <x:v>Provisional positive contribution</x:v>
      </x:c>
    </x:row>
    <x:row r="383">
      <x:c r="A383" s="14" t="str">
        <x:v>240gsm Oversized</x:v>
      </x:c>
      <x:c r="B383" s="14" t="n">
        <x:v>25</x:v>
      </x:c>
      <x:c r="C383" s="15" t="n">
        <x:v>749</x:v>
      </x:c>
      <x:c r="D383" s="15" t="n">
        <x:v>449</x:v>
      </x:c>
      <x:c r="E383" s="16" t="n">
        <x:v>0.35</x:v>
      </x:c>
      <x:c r="F383" s="15" t="n">
        <x:f>INDEX('Inputs'!$D$4:$D$6,MATCH(A383,'Inputs'!$A$4:$A$6,0))</x:f>
        <x:v>125</x:v>
      </x:c>
      <x:c r="G383" s="15" t="n">
        <x:f>INDEX('Inputs'!$E$4:$E$6,MATCH(A383,'Inputs'!$A$4:$A$6,0))</x:f>
        <x:v>85</x:v>
      </x:c>
      <x:c r="H383" s="15" t="n">
        <x:f>D383*(1-E383)</x:f>
        <x:v>291.85</x:v>
      </x:c>
      <x:c r="I383" s="15" t="n">
        <x:f>F383+G383</x:f>
        <x:v>210</x:v>
      </x:c>
      <x:c r="J383" s="15" t="n">
        <x:f>H383-I383</x:f>
        <x:v>81.85000000000002</x:v>
      </x:c>
      <x:c r="K383" s="16" t="n">
        <x:f>IFERROR(J383/H383,0)</x:f>
        <x:v>0.28045228713380166</x:v>
      </x:c>
      <x:c r="L383" s="14" t="str">
        <x:f>IF(J383&gt;0,"Provisional positive contribution","Not viable")</x:f>
        <x:v>Provisional positive contribution</x:v>
      </x:c>
    </x:row>
    <x:row r="384">
      <x:c r="A384" s="14" t="str">
        <x:v>240gsm Oversized</x:v>
      </x:c>
      <x:c r="B384" s="14" t="n">
        <x:v>25</x:v>
      </x:c>
      <x:c r="C384" s="15" t="n">
        <x:v>749</x:v>
      </x:c>
      <x:c r="D384" s="15" t="n">
        <x:v>499</x:v>
      </x:c>
      <x:c r="E384" s="16" t="n">
        <x:v>0.2</x:v>
      </x:c>
      <x:c r="F384" s="15" t="n">
        <x:f>INDEX('Inputs'!$D$4:$D$6,MATCH(A384,'Inputs'!$A$4:$A$6,0))</x:f>
        <x:v>125</x:v>
      </x:c>
      <x:c r="G384" s="15" t="n">
        <x:f>INDEX('Inputs'!$E$4:$E$6,MATCH(A384,'Inputs'!$A$4:$A$6,0))</x:f>
        <x:v>85</x:v>
      </x:c>
      <x:c r="H384" s="15" t="n">
        <x:f>D384*(1-E384)</x:f>
        <x:v>399.20000000000005</x:v>
      </x:c>
      <x:c r="I384" s="15" t="n">
        <x:f>F384+G384</x:f>
        <x:v>210</x:v>
      </x:c>
      <x:c r="J384" s="15" t="n">
        <x:f>H384-I384</x:f>
        <x:v>189.20000000000005</x:v>
      </x:c>
      <x:c r="K384" s="16" t="n">
        <x:f>IFERROR(J384/H384,0)</x:f>
        <x:v>0.47394789579158325</x:v>
      </x:c>
      <x:c r="L384" s="14" t="str">
        <x:f>IF(J384&gt;0,"Provisional positive contribution","Not viable")</x:f>
        <x:v>Provisional positive contribution</x:v>
      </x:c>
    </x:row>
    <x:row r="385">
      <x:c r="A385" s="14" t="str">
        <x:v>240gsm Oversized</x:v>
      </x:c>
      <x:c r="B385" s="14" t="n">
        <x:v>25</x:v>
      </x:c>
      <x:c r="C385" s="15" t="n">
        <x:v>749</x:v>
      </x:c>
      <x:c r="D385" s="15" t="n">
        <x:v>499</x:v>
      </x:c>
      <x:c r="E385" s="16" t="n">
        <x:v>0.25</x:v>
      </x:c>
      <x:c r="F385" s="15" t="n">
        <x:f>INDEX('Inputs'!$D$4:$D$6,MATCH(A385,'Inputs'!$A$4:$A$6,0))</x:f>
        <x:v>125</x:v>
      </x:c>
      <x:c r="G385" s="15" t="n">
        <x:f>INDEX('Inputs'!$E$4:$E$6,MATCH(A385,'Inputs'!$A$4:$A$6,0))</x:f>
        <x:v>85</x:v>
      </x:c>
      <x:c r="H385" s="15" t="n">
        <x:f>D385*(1-E385)</x:f>
        <x:v>374.25</x:v>
      </x:c>
      <x:c r="I385" s="15" t="n">
        <x:f>F385+G385</x:f>
        <x:v>210</x:v>
      </x:c>
      <x:c r="J385" s="15" t="n">
        <x:f>H385-I385</x:f>
        <x:v>164.25</x:v>
      </x:c>
      <x:c r="K385" s="16" t="n">
        <x:f>IFERROR(J385/H385,0)</x:f>
        <x:v>0.43887775551102204</x:v>
      </x:c>
      <x:c r="L385" s="14" t="str">
        <x:f>IF(J385&gt;0,"Provisional positive contribution","Not viable")</x:f>
        <x:v>Provisional positive contribution</x:v>
      </x:c>
    </x:row>
    <x:row r="386">
      <x:c r="A386" s="14" t="str">
        <x:v>240gsm Oversized</x:v>
      </x:c>
      <x:c r="B386" s="14" t="n">
        <x:v>25</x:v>
      </x:c>
      <x:c r="C386" s="15" t="n">
        <x:v>749</x:v>
      </x:c>
      <x:c r="D386" s="15" t="n">
        <x:v>499</x:v>
      </x:c>
      <x:c r="E386" s="16" t="n">
        <x:v>0.3</x:v>
      </x:c>
      <x:c r="F386" s="15" t="n">
        <x:f>INDEX('Inputs'!$D$4:$D$6,MATCH(A386,'Inputs'!$A$4:$A$6,0))</x:f>
        <x:v>125</x:v>
      </x:c>
      <x:c r="G386" s="15" t="n">
        <x:f>INDEX('Inputs'!$E$4:$E$6,MATCH(A386,'Inputs'!$A$4:$A$6,0))</x:f>
        <x:v>85</x:v>
      </x:c>
      <x:c r="H386" s="15" t="n">
        <x:f>D386*(1-E386)</x:f>
        <x:v>349.29999999999995</x:v>
      </x:c>
      <x:c r="I386" s="15" t="n">
        <x:f>F386+G386</x:f>
        <x:v>210</x:v>
      </x:c>
      <x:c r="J386" s="15" t="n">
        <x:f>H386-I386</x:f>
        <x:v>139.29999999999995</x:v>
      </x:c>
      <x:c r="K386" s="16" t="n">
        <x:f>IFERROR(J386/H386,0)</x:f>
        <x:v>0.39879759519038066</x:v>
      </x:c>
      <x:c r="L386" s="14" t="str">
        <x:f>IF(J386&gt;0,"Provisional positive contribution","Not viable")</x:f>
        <x:v>Provisional positive contribution</x:v>
      </x:c>
    </x:row>
    <x:row r="387">
      <x:c r="A387" s="14" t="str">
        <x:v>240gsm Oversized</x:v>
      </x:c>
      <x:c r="B387" s="14" t="n">
        <x:v>25</x:v>
      </x:c>
      <x:c r="C387" s="15" t="n">
        <x:v>749</x:v>
      </x:c>
      <x:c r="D387" s="15" t="n">
        <x:v>499</x:v>
      </x:c>
      <x:c r="E387" s="16" t="n">
        <x:v>0.35</x:v>
      </x:c>
      <x:c r="F387" s="15" t="n">
        <x:f>INDEX('Inputs'!$D$4:$D$6,MATCH(A387,'Inputs'!$A$4:$A$6,0))</x:f>
        <x:v>125</x:v>
      </x:c>
      <x:c r="G387" s="15" t="n">
        <x:f>INDEX('Inputs'!$E$4:$E$6,MATCH(A387,'Inputs'!$A$4:$A$6,0))</x:f>
        <x:v>85</x:v>
      </x:c>
      <x:c r="H387" s="15" t="n">
        <x:f>D387*(1-E387)</x:f>
        <x:v>324.35</x:v>
      </x:c>
      <x:c r="I387" s="15" t="n">
        <x:f>F387+G387</x:f>
        <x:v>210</x:v>
      </x:c>
      <x:c r="J387" s="15" t="n">
        <x:f>H387-I387</x:f>
        <x:v>114.35000000000002</x:v>
      </x:c>
      <x:c r="K387" s="16" t="n">
        <x:f>IFERROR(J387/H387,0)</x:f>
        <x:v>0.35255125635887163</x:v>
      </x:c>
      <x:c r="L387" s="14" t="str">
        <x:f>IF(J387&gt;0,"Provisional positive contribution","Not viable")</x:f>
        <x:v>Provisional positive contribution</x:v>
      </x:c>
    </x:row>
    <x:row r="388">
      <x:c r="A388" s="14" t="str">
        <x:v>240gsm Oversized</x:v>
      </x:c>
      <x:c r="B388" s="14" t="n">
        <x:v>50</x:v>
      </x:c>
      <x:c r="C388" s="15" t="n">
        <x:v>599</x:v>
      </x:c>
      <x:c r="D388" s="15" t="n">
        <x:v>349</x:v>
      </x:c>
      <x:c r="E388" s="16" t="n">
        <x:v>0.2</x:v>
      </x:c>
      <x:c r="F388" s="15" t="n">
        <x:f>INDEX('Inputs'!$D$4:$D$6,MATCH(A388,'Inputs'!$A$4:$A$6,0))</x:f>
        <x:v>125</x:v>
      </x:c>
      <x:c r="G388" s="15" t="n">
        <x:f>INDEX('Inputs'!$E$4:$E$6,MATCH(A388,'Inputs'!$A$4:$A$6,0))</x:f>
        <x:v>85</x:v>
      </x:c>
      <x:c r="H388" s="15" t="n">
        <x:f>D388*(1-E388)</x:f>
        <x:v>279.2</x:v>
      </x:c>
      <x:c r="I388" s="15" t="n">
        <x:f>F388+G388</x:f>
        <x:v>210</x:v>
      </x:c>
      <x:c r="J388" s="15" t="n">
        <x:f>H388-I388</x:f>
        <x:v>69.19999999999999</x:v>
      </x:c>
      <x:c r="K388" s="16" t="n">
        <x:f>IFERROR(J388/H388,0)</x:f>
        <x:v>0.2478510028653295</x:v>
      </x:c>
      <x:c r="L388" s="14" t="str">
        <x:f>IF(J388&gt;0,"Provisional positive contribution","Not viable")</x:f>
        <x:v>Provisional positive contribution</x:v>
      </x:c>
    </x:row>
    <x:row r="389">
      <x:c r="A389" s="14" t="str">
        <x:v>240gsm Oversized</x:v>
      </x:c>
      <x:c r="B389" s="14" t="n">
        <x:v>50</x:v>
      </x:c>
      <x:c r="C389" s="15" t="n">
        <x:v>599</x:v>
      </x:c>
      <x:c r="D389" s="15" t="n">
        <x:v>349</x:v>
      </x:c>
      <x:c r="E389" s="16" t="n">
        <x:v>0.25</x:v>
      </x:c>
      <x:c r="F389" s="15" t="n">
        <x:f>INDEX('Inputs'!$D$4:$D$6,MATCH(A389,'Inputs'!$A$4:$A$6,0))</x:f>
        <x:v>125</x:v>
      </x:c>
      <x:c r="G389" s="15" t="n">
        <x:f>INDEX('Inputs'!$E$4:$E$6,MATCH(A389,'Inputs'!$A$4:$A$6,0))</x:f>
        <x:v>85</x:v>
      </x:c>
      <x:c r="H389" s="15" t="n">
        <x:f>D389*(1-E389)</x:f>
        <x:v>261.75</x:v>
      </x:c>
      <x:c r="I389" s="15" t="n">
        <x:f>F389+G389</x:f>
        <x:v>210</x:v>
      </x:c>
      <x:c r="J389" s="15" t="n">
        <x:f>H389-I389</x:f>
        <x:v>51.75</x:v>
      </x:c>
      <x:c r="K389" s="16" t="n">
        <x:f>IFERROR(J389/H389,0)</x:f>
        <x:v>0.1977077363896848</x:v>
      </x:c>
      <x:c r="L389" s="14" t="str">
        <x:f>IF(J389&gt;0,"Provisional positive contribution","Not viable")</x:f>
        <x:v>Provisional positive contribution</x:v>
      </x:c>
    </x:row>
    <x:row r="390">
      <x:c r="A390" s="14" t="str">
        <x:v>240gsm Oversized</x:v>
      </x:c>
      <x:c r="B390" s="14" t="n">
        <x:v>50</x:v>
      </x:c>
      <x:c r="C390" s="15" t="n">
        <x:v>599</x:v>
      </x:c>
      <x:c r="D390" s="15" t="n">
        <x:v>349</x:v>
      </x:c>
      <x:c r="E390" s="16" t="n">
        <x:v>0.3</x:v>
      </x:c>
      <x:c r="F390" s="15" t="n">
        <x:f>INDEX('Inputs'!$D$4:$D$6,MATCH(A390,'Inputs'!$A$4:$A$6,0))</x:f>
        <x:v>125</x:v>
      </x:c>
      <x:c r="G390" s="15" t="n">
        <x:f>INDEX('Inputs'!$E$4:$E$6,MATCH(A390,'Inputs'!$A$4:$A$6,0))</x:f>
        <x:v>85</x:v>
      </x:c>
      <x:c r="H390" s="15" t="n">
        <x:f>D390*(1-E390)</x:f>
        <x:v>244.29999999999998</x:v>
      </x:c>
      <x:c r="I390" s="15" t="n">
        <x:f>F390+G390</x:f>
        <x:v>210</x:v>
      </x:c>
      <x:c r="J390" s="15" t="n">
        <x:f>H390-I390</x:f>
        <x:v>34.29999999999998</x:v>
      </x:c>
      <x:c r="K390" s="16" t="n">
        <x:f>IFERROR(J390/H390,0)</x:f>
        <x:v>0.1404011461318051</x:v>
      </x:c>
      <x:c r="L390" s="14" t="str">
        <x:f>IF(J390&gt;0,"Provisional positive contribution","Not viable")</x:f>
        <x:v>Provisional positive contribution</x:v>
      </x:c>
    </x:row>
    <x:row r="391">
      <x:c r="A391" s="14" t="str">
        <x:v>240gsm Oversized</x:v>
      </x:c>
      <x:c r="B391" s="14" t="n">
        <x:v>50</x:v>
      </x:c>
      <x:c r="C391" s="15" t="n">
        <x:v>599</x:v>
      </x:c>
      <x:c r="D391" s="15" t="n">
        <x:v>349</x:v>
      </x:c>
      <x:c r="E391" s="16" t="n">
        <x:v>0.35</x:v>
      </x:c>
      <x:c r="F391" s="15" t="n">
        <x:f>INDEX('Inputs'!$D$4:$D$6,MATCH(A391,'Inputs'!$A$4:$A$6,0))</x:f>
        <x:v>125</x:v>
      </x:c>
      <x:c r="G391" s="15" t="n">
        <x:f>INDEX('Inputs'!$E$4:$E$6,MATCH(A391,'Inputs'!$A$4:$A$6,0))</x:f>
        <x:v>85</x:v>
      </x:c>
      <x:c r="H391" s="15" t="n">
        <x:f>D391*(1-E391)</x:f>
        <x:v>226.85</x:v>
      </x:c>
      <x:c r="I391" s="15" t="n">
        <x:f>F391+G391</x:f>
        <x:v>210</x:v>
      </x:c>
      <x:c r="J391" s="15" t="n">
        <x:f>H391-I391</x:f>
        <x:v>16.849999999999994</x:v>
      </x:c>
      <x:c r="K391" s="16" t="n">
        <x:f>IFERROR(J391/H391,0)</x:f>
        <x:v>0.07427815737271322</x:v>
      </x:c>
      <x:c r="L391" s="14" t="str">
        <x:f>IF(J391&gt;0,"Provisional positive contribution","Not viable")</x:f>
        <x:v>Provisional positive contribution</x:v>
      </x:c>
    </x:row>
    <x:row r="392">
      <x:c r="A392" s="14" t="str">
        <x:v>240gsm Oversized</x:v>
      </x:c>
      <x:c r="B392" s="14" t="n">
        <x:v>50</x:v>
      </x:c>
      <x:c r="C392" s="15" t="n">
        <x:v>599</x:v>
      </x:c>
      <x:c r="D392" s="15" t="n">
        <x:v>399</x:v>
      </x:c>
      <x:c r="E392" s="16" t="n">
        <x:v>0.2</x:v>
      </x:c>
      <x:c r="F392" s="15" t="n">
        <x:f>INDEX('Inputs'!$D$4:$D$6,MATCH(A392,'Inputs'!$A$4:$A$6,0))</x:f>
        <x:v>125</x:v>
      </x:c>
      <x:c r="G392" s="15" t="n">
        <x:f>INDEX('Inputs'!$E$4:$E$6,MATCH(A392,'Inputs'!$A$4:$A$6,0))</x:f>
        <x:v>85</x:v>
      </x:c>
      <x:c r="H392" s="15" t="n">
        <x:f>D392*(1-E392)</x:f>
        <x:v>319.20000000000005</x:v>
      </x:c>
      <x:c r="I392" s="15" t="n">
        <x:f>F392+G392</x:f>
        <x:v>210</x:v>
      </x:c>
      <x:c r="J392" s="15" t="n">
        <x:f>H392-I392</x:f>
        <x:v>109.20000000000005</x:v>
      </x:c>
      <x:c r="K392" s="16" t="n">
        <x:f>IFERROR(J392/H392,0)</x:f>
        <x:v>0.34210526315789486</x:v>
      </x:c>
      <x:c r="L392" s="14" t="str">
        <x:f>IF(J392&gt;0,"Provisional positive contribution","Not viable")</x:f>
        <x:v>Provisional positive contribution</x:v>
      </x:c>
    </x:row>
    <x:row r="393">
      <x:c r="A393" s="14" t="str">
        <x:v>240gsm Oversized</x:v>
      </x:c>
      <x:c r="B393" s="14" t="n">
        <x:v>50</x:v>
      </x:c>
      <x:c r="C393" s="15" t="n">
        <x:v>599</x:v>
      </x:c>
      <x:c r="D393" s="15" t="n">
        <x:v>399</x:v>
      </x:c>
      <x:c r="E393" s="16" t="n">
        <x:v>0.25</x:v>
      </x:c>
      <x:c r="F393" s="15" t="n">
        <x:f>INDEX('Inputs'!$D$4:$D$6,MATCH(A393,'Inputs'!$A$4:$A$6,0))</x:f>
        <x:v>125</x:v>
      </x:c>
      <x:c r="G393" s="15" t="n">
        <x:f>INDEX('Inputs'!$E$4:$E$6,MATCH(A393,'Inputs'!$A$4:$A$6,0))</x:f>
        <x:v>85</x:v>
      </x:c>
      <x:c r="H393" s="15" t="n">
        <x:f>D393*(1-E393)</x:f>
        <x:v>299.25</x:v>
      </x:c>
      <x:c r="I393" s="15" t="n">
        <x:f>F393+G393</x:f>
        <x:v>210</x:v>
      </x:c>
      <x:c r="J393" s="15" t="n">
        <x:f>H393-I393</x:f>
        <x:v>89.25</x:v>
      </x:c>
      <x:c r="K393" s="16" t="n">
        <x:f>IFERROR(J393/H393,0)</x:f>
        <x:v>0.2982456140350877</x:v>
      </x:c>
      <x:c r="L393" s="14" t="str">
        <x:f>IF(J393&gt;0,"Provisional positive contribution","Not viable")</x:f>
        <x:v>Provisional positive contribution</x:v>
      </x:c>
    </x:row>
    <x:row r="394">
      <x:c r="A394" s="14" t="str">
        <x:v>240gsm Oversized</x:v>
      </x:c>
      <x:c r="B394" s="14" t="n">
        <x:v>50</x:v>
      </x:c>
      <x:c r="C394" s="15" t="n">
        <x:v>599</x:v>
      </x:c>
      <x:c r="D394" s="15" t="n">
        <x:v>399</x:v>
      </x:c>
      <x:c r="E394" s="16" t="n">
        <x:v>0.3</x:v>
      </x:c>
      <x:c r="F394" s="15" t="n">
        <x:f>INDEX('Inputs'!$D$4:$D$6,MATCH(A394,'Inputs'!$A$4:$A$6,0))</x:f>
        <x:v>125</x:v>
      </x:c>
      <x:c r="G394" s="15" t="n">
        <x:f>INDEX('Inputs'!$E$4:$E$6,MATCH(A394,'Inputs'!$A$4:$A$6,0))</x:f>
        <x:v>85</x:v>
      </x:c>
      <x:c r="H394" s="15" t="n">
        <x:f>D394*(1-E394)</x:f>
        <x:v>279.29999999999995</x:v>
      </x:c>
      <x:c r="I394" s="15" t="n">
        <x:f>F394+G394</x:f>
        <x:v>210</x:v>
      </x:c>
      <x:c r="J394" s="15" t="n">
        <x:f>H394-I394</x:f>
        <x:v>69.29999999999995</x:v>
      </x:c>
      <x:c r="K394" s="16" t="n">
        <x:f>IFERROR(J394/H394,0)</x:f>
        <x:v>0.24812030075187957</x:v>
      </x:c>
      <x:c r="L394" s="14" t="str">
        <x:f>IF(J394&gt;0,"Provisional positive contribution","Not viable")</x:f>
        <x:v>Provisional positive contribution</x:v>
      </x:c>
    </x:row>
    <x:row r="395">
      <x:c r="A395" s="14" t="str">
        <x:v>240gsm Oversized</x:v>
      </x:c>
      <x:c r="B395" s="14" t="n">
        <x:v>50</x:v>
      </x:c>
      <x:c r="C395" s="15" t="n">
        <x:v>599</x:v>
      </x:c>
      <x:c r="D395" s="15" t="n">
        <x:v>399</x:v>
      </x:c>
      <x:c r="E395" s="16" t="n">
        <x:v>0.35</x:v>
      </x:c>
      <x:c r="F395" s="15" t="n">
        <x:f>INDEX('Inputs'!$D$4:$D$6,MATCH(A395,'Inputs'!$A$4:$A$6,0))</x:f>
        <x:v>125</x:v>
      </x:c>
      <x:c r="G395" s="15" t="n">
        <x:f>INDEX('Inputs'!$E$4:$E$6,MATCH(A395,'Inputs'!$A$4:$A$6,0))</x:f>
        <x:v>85</x:v>
      </x:c>
      <x:c r="H395" s="15" t="n">
        <x:f>D395*(1-E395)</x:f>
        <x:v>259.35</x:v>
      </x:c>
      <x:c r="I395" s="15" t="n">
        <x:f>F395+G395</x:f>
        <x:v>210</x:v>
      </x:c>
      <x:c r="J395" s="15" t="n">
        <x:f>H395-I395</x:f>
        <x:v>49.35000000000002</x:v>
      </x:c>
      <x:c r="K395" s="16" t="n">
        <x:f>IFERROR(J395/H395,0)</x:f>
        <x:v>0.19028340080971667</x:v>
      </x:c>
      <x:c r="L395" s="14" t="str">
        <x:f>IF(J395&gt;0,"Provisional positive contribution","Not viable")</x:f>
        <x:v>Provisional positive contribution</x:v>
      </x:c>
    </x:row>
    <x:row r="396">
      <x:c r="A396" s="14" t="str">
        <x:v>240gsm Oversized</x:v>
      </x:c>
      <x:c r="B396" s="14" t="n">
        <x:v>50</x:v>
      </x:c>
      <x:c r="C396" s="15" t="n">
        <x:v>599</x:v>
      </x:c>
      <x:c r="D396" s="15" t="n">
        <x:v>449</x:v>
      </x:c>
      <x:c r="E396" s="16" t="n">
        <x:v>0.2</x:v>
      </x:c>
      <x:c r="F396" s="15" t="n">
        <x:f>INDEX('Inputs'!$D$4:$D$6,MATCH(A396,'Inputs'!$A$4:$A$6,0))</x:f>
        <x:v>125</x:v>
      </x:c>
      <x:c r="G396" s="15" t="n">
        <x:f>INDEX('Inputs'!$E$4:$E$6,MATCH(A396,'Inputs'!$A$4:$A$6,0))</x:f>
        <x:v>85</x:v>
      </x:c>
      <x:c r="H396" s="15" t="n">
        <x:f>D396*(1-E396)</x:f>
        <x:v>359.20000000000005</x:v>
      </x:c>
      <x:c r="I396" s="15" t="n">
        <x:f>F396+G396</x:f>
        <x:v>210</x:v>
      </x:c>
      <x:c r="J396" s="15" t="n">
        <x:f>H396-I396</x:f>
        <x:v>149.20000000000005</x:v>
      </x:c>
      <x:c r="K396" s="16" t="n">
        <x:f>IFERROR(J396/H396,0)</x:f>
        <x:v>0.41536748329621387</x:v>
      </x:c>
      <x:c r="L396" s="14" t="str">
        <x:f>IF(J396&gt;0,"Provisional positive contribution","Not viable")</x:f>
        <x:v>Provisional positive contribution</x:v>
      </x:c>
    </x:row>
    <x:row r="397">
      <x:c r="A397" s="14" t="str">
        <x:v>240gsm Oversized</x:v>
      </x:c>
      <x:c r="B397" s="14" t="n">
        <x:v>50</x:v>
      </x:c>
      <x:c r="C397" s="15" t="n">
        <x:v>599</x:v>
      </x:c>
      <x:c r="D397" s="15" t="n">
        <x:v>449</x:v>
      </x:c>
      <x:c r="E397" s="16" t="n">
        <x:v>0.25</x:v>
      </x:c>
      <x:c r="F397" s="15" t="n">
        <x:f>INDEX('Inputs'!$D$4:$D$6,MATCH(A397,'Inputs'!$A$4:$A$6,0))</x:f>
        <x:v>125</x:v>
      </x:c>
      <x:c r="G397" s="15" t="n">
        <x:f>INDEX('Inputs'!$E$4:$E$6,MATCH(A397,'Inputs'!$A$4:$A$6,0))</x:f>
        <x:v>85</x:v>
      </x:c>
      <x:c r="H397" s="15" t="n">
        <x:f>D397*(1-E397)</x:f>
        <x:v>336.75</x:v>
      </x:c>
      <x:c r="I397" s="15" t="n">
        <x:f>F397+G397</x:f>
        <x:v>210</x:v>
      </x:c>
      <x:c r="J397" s="15" t="n">
        <x:f>H397-I397</x:f>
        <x:v>126.75</x:v>
      </x:c>
      <x:c r="K397" s="16" t="n">
        <x:f>IFERROR(J397/H397,0)</x:f>
        <x:v>0.37639198218262804</x:v>
      </x:c>
      <x:c r="L397" s="14" t="str">
        <x:f>IF(J397&gt;0,"Provisional positive contribution","Not viable")</x:f>
        <x:v>Provisional positive contribution</x:v>
      </x:c>
    </x:row>
    <x:row r="398">
      <x:c r="A398" s="14" t="str">
        <x:v>240gsm Oversized</x:v>
      </x:c>
      <x:c r="B398" s="14" t="n">
        <x:v>50</x:v>
      </x:c>
      <x:c r="C398" s="15" t="n">
        <x:v>599</x:v>
      </x:c>
      <x:c r="D398" s="15" t="n">
        <x:v>449</x:v>
      </x:c>
      <x:c r="E398" s="16" t="n">
        <x:v>0.3</x:v>
      </x:c>
      <x:c r="F398" s="15" t="n">
        <x:f>INDEX('Inputs'!$D$4:$D$6,MATCH(A398,'Inputs'!$A$4:$A$6,0))</x:f>
        <x:v>125</x:v>
      </x:c>
      <x:c r="G398" s="15" t="n">
        <x:f>INDEX('Inputs'!$E$4:$E$6,MATCH(A398,'Inputs'!$A$4:$A$6,0))</x:f>
        <x:v>85</x:v>
      </x:c>
      <x:c r="H398" s="15" t="n">
        <x:f>D398*(1-E398)</x:f>
        <x:v>314.29999999999995</x:v>
      </x:c>
      <x:c r="I398" s="15" t="n">
        <x:f>F398+G398</x:f>
        <x:v>210</x:v>
      </x:c>
      <x:c r="J398" s="15" t="n">
        <x:f>H398-I398</x:f>
        <x:v>104.29999999999995</x:v>
      </x:c>
      <x:c r="K398" s="16" t="n">
        <x:f>IFERROR(J398/H398,0)</x:f>
        <x:v>0.33184855233852995</x:v>
      </x:c>
      <x:c r="L398" s="14" t="str">
        <x:f>IF(J398&gt;0,"Provisional positive contribution","Not viable")</x:f>
        <x:v>Provisional positive contribution</x:v>
      </x:c>
    </x:row>
    <x:row r="399">
      <x:c r="A399" s="14" t="str">
        <x:v>240gsm Oversized</x:v>
      </x:c>
      <x:c r="B399" s="14" t="n">
        <x:v>50</x:v>
      </x:c>
      <x:c r="C399" s="15" t="n">
        <x:v>599</x:v>
      </x:c>
      <x:c r="D399" s="15" t="n">
        <x:v>449</x:v>
      </x:c>
      <x:c r="E399" s="16" t="n">
        <x:v>0.35</x:v>
      </x:c>
      <x:c r="F399" s="15" t="n">
        <x:f>INDEX('Inputs'!$D$4:$D$6,MATCH(A399,'Inputs'!$A$4:$A$6,0))</x:f>
        <x:v>125</x:v>
      </x:c>
      <x:c r="G399" s="15" t="n">
        <x:f>INDEX('Inputs'!$E$4:$E$6,MATCH(A399,'Inputs'!$A$4:$A$6,0))</x:f>
        <x:v>85</x:v>
      </x:c>
      <x:c r="H399" s="15" t="n">
        <x:f>D399*(1-E399)</x:f>
        <x:v>291.85</x:v>
      </x:c>
      <x:c r="I399" s="15" t="n">
        <x:f>F399+G399</x:f>
        <x:v>210</x:v>
      </x:c>
      <x:c r="J399" s="15" t="n">
        <x:f>H399-I399</x:f>
        <x:v>81.85000000000002</x:v>
      </x:c>
      <x:c r="K399" s="16" t="n">
        <x:f>IFERROR(J399/H399,0)</x:f>
        <x:v>0.28045228713380166</x:v>
      </x:c>
      <x:c r="L399" s="14" t="str">
        <x:f>IF(J399&gt;0,"Provisional positive contribution","Not viable")</x:f>
        <x:v>Provisional positive contribution</x:v>
      </x:c>
    </x:row>
    <x:row r="400">
      <x:c r="A400" s="14" t="str">
        <x:v>240gsm Oversized</x:v>
      </x:c>
      <x:c r="B400" s="14" t="n">
        <x:v>50</x:v>
      </x:c>
      <x:c r="C400" s="15" t="n">
        <x:v>599</x:v>
      </x:c>
      <x:c r="D400" s="15" t="n">
        <x:v>499</x:v>
      </x:c>
      <x:c r="E400" s="16" t="n">
        <x:v>0.2</x:v>
      </x:c>
      <x:c r="F400" s="15" t="n">
        <x:f>INDEX('Inputs'!$D$4:$D$6,MATCH(A400,'Inputs'!$A$4:$A$6,0))</x:f>
        <x:v>125</x:v>
      </x:c>
      <x:c r="G400" s="15" t="n">
        <x:f>INDEX('Inputs'!$E$4:$E$6,MATCH(A400,'Inputs'!$A$4:$A$6,0))</x:f>
        <x:v>85</x:v>
      </x:c>
      <x:c r="H400" s="15" t="n">
        <x:f>D400*(1-E400)</x:f>
        <x:v>399.20000000000005</x:v>
      </x:c>
      <x:c r="I400" s="15" t="n">
        <x:f>F400+G400</x:f>
        <x:v>210</x:v>
      </x:c>
      <x:c r="J400" s="15" t="n">
        <x:f>H400-I400</x:f>
        <x:v>189.20000000000005</x:v>
      </x:c>
      <x:c r="K400" s="16" t="n">
        <x:f>IFERROR(J400/H400,0)</x:f>
        <x:v>0.47394789579158325</x:v>
      </x:c>
      <x:c r="L400" s="14" t="str">
        <x:f>IF(J400&gt;0,"Provisional positive contribution","Not viable")</x:f>
        <x:v>Provisional positive contribution</x:v>
      </x:c>
    </x:row>
    <x:row r="401">
      <x:c r="A401" s="14" t="str">
        <x:v>240gsm Oversized</x:v>
      </x:c>
      <x:c r="B401" s="14" t="n">
        <x:v>50</x:v>
      </x:c>
      <x:c r="C401" s="15" t="n">
        <x:v>599</x:v>
      </x:c>
      <x:c r="D401" s="15" t="n">
        <x:v>499</x:v>
      </x:c>
      <x:c r="E401" s="16" t="n">
        <x:v>0.25</x:v>
      </x:c>
      <x:c r="F401" s="15" t="n">
        <x:f>INDEX('Inputs'!$D$4:$D$6,MATCH(A401,'Inputs'!$A$4:$A$6,0))</x:f>
        <x:v>125</x:v>
      </x:c>
      <x:c r="G401" s="15" t="n">
        <x:f>INDEX('Inputs'!$E$4:$E$6,MATCH(A401,'Inputs'!$A$4:$A$6,0))</x:f>
        <x:v>85</x:v>
      </x:c>
      <x:c r="H401" s="15" t="n">
        <x:f>D401*(1-E401)</x:f>
        <x:v>374.25</x:v>
      </x:c>
      <x:c r="I401" s="15" t="n">
        <x:f>F401+G401</x:f>
        <x:v>210</x:v>
      </x:c>
      <x:c r="J401" s="15" t="n">
        <x:f>H401-I401</x:f>
        <x:v>164.25</x:v>
      </x:c>
      <x:c r="K401" s="16" t="n">
        <x:f>IFERROR(J401/H401,0)</x:f>
        <x:v>0.43887775551102204</x:v>
      </x:c>
      <x:c r="L401" s="14" t="str">
        <x:f>IF(J401&gt;0,"Provisional positive contribution","Not viable")</x:f>
        <x:v>Provisional positive contribution</x:v>
      </x:c>
    </x:row>
    <x:row r="402">
      <x:c r="A402" s="14" t="str">
        <x:v>240gsm Oversized</x:v>
      </x:c>
      <x:c r="B402" s="14" t="n">
        <x:v>50</x:v>
      </x:c>
      <x:c r="C402" s="15" t="n">
        <x:v>599</x:v>
      </x:c>
      <x:c r="D402" s="15" t="n">
        <x:v>499</x:v>
      </x:c>
      <x:c r="E402" s="16" t="n">
        <x:v>0.3</x:v>
      </x:c>
      <x:c r="F402" s="15" t="n">
        <x:f>INDEX('Inputs'!$D$4:$D$6,MATCH(A402,'Inputs'!$A$4:$A$6,0))</x:f>
        <x:v>125</x:v>
      </x:c>
      <x:c r="G402" s="15" t="n">
        <x:f>INDEX('Inputs'!$E$4:$E$6,MATCH(A402,'Inputs'!$A$4:$A$6,0))</x:f>
        <x:v>85</x:v>
      </x:c>
      <x:c r="H402" s="15" t="n">
        <x:f>D402*(1-E402)</x:f>
        <x:v>349.29999999999995</x:v>
      </x:c>
      <x:c r="I402" s="15" t="n">
        <x:f>F402+G402</x:f>
        <x:v>210</x:v>
      </x:c>
      <x:c r="J402" s="15" t="n">
        <x:f>H402-I402</x:f>
        <x:v>139.29999999999995</x:v>
      </x:c>
      <x:c r="K402" s="16" t="n">
        <x:f>IFERROR(J402/H402,0)</x:f>
        <x:v>0.39879759519038066</x:v>
      </x:c>
      <x:c r="L402" s="14" t="str">
        <x:f>IF(J402&gt;0,"Provisional positive contribution","Not viable")</x:f>
        <x:v>Provisional positive contribution</x:v>
      </x:c>
    </x:row>
    <x:row r="403">
      <x:c r="A403" s="14" t="str">
        <x:v>240gsm Oversized</x:v>
      </x:c>
      <x:c r="B403" s="14" t="n">
        <x:v>50</x:v>
      </x:c>
      <x:c r="C403" s="15" t="n">
        <x:v>599</x:v>
      </x:c>
      <x:c r="D403" s="15" t="n">
        <x:v>499</x:v>
      </x:c>
      <x:c r="E403" s="16" t="n">
        <x:v>0.35</x:v>
      </x:c>
      <x:c r="F403" s="15" t="n">
        <x:f>INDEX('Inputs'!$D$4:$D$6,MATCH(A403,'Inputs'!$A$4:$A$6,0))</x:f>
        <x:v>125</x:v>
      </x:c>
      <x:c r="G403" s="15" t="n">
        <x:f>INDEX('Inputs'!$E$4:$E$6,MATCH(A403,'Inputs'!$A$4:$A$6,0))</x:f>
        <x:v>85</x:v>
      </x:c>
      <x:c r="H403" s="15" t="n">
        <x:f>D403*(1-E403)</x:f>
        <x:v>324.35</x:v>
      </x:c>
      <x:c r="I403" s="15" t="n">
        <x:f>F403+G403</x:f>
        <x:v>210</x:v>
      </x:c>
      <x:c r="J403" s="15" t="n">
        <x:f>H403-I403</x:f>
        <x:v>114.35000000000002</x:v>
      </x:c>
      <x:c r="K403" s="16" t="n">
        <x:f>IFERROR(J403/H403,0)</x:f>
        <x:v>0.35255125635887163</x:v>
      </x:c>
      <x:c r="L403" s="14" t="str">
        <x:f>IF(J403&gt;0,"Provisional positive contribution","Not viable")</x:f>
        <x:v>Provisional positive contribution</x:v>
      </x:c>
    </x:row>
    <x:row r="404">
      <x:c r="A404" s="14" t="str">
        <x:v>240gsm Oversized</x:v>
      </x:c>
      <x:c r="B404" s="14" t="n">
        <x:v>50</x:v>
      </x:c>
      <x:c r="C404" s="15" t="n">
        <x:v>649</x:v>
      </x:c>
      <x:c r="D404" s="15" t="n">
        <x:v>349</x:v>
      </x:c>
      <x:c r="E404" s="16" t="n">
        <x:v>0.2</x:v>
      </x:c>
      <x:c r="F404" s="15" t="n">
        <x:f>INDEX('Inputs'!$D$4:$D$6,MATCH(A404,'Inputs'!$A$4:$A$6,0))</x:f>
        <x:v>125</x:v>
      </x:c>
      <x:c r="G404" s="15" t="n">
        <x:f>INDEX('Inputs'!$E$4:$E$6,MATCH(A404,'Inputs'!$A$4:$A$6,0))</x:f>
        <x:v>85</x:v>
      </x:c>
      <x:c r="H404" s="15" t="n">
        <x:f>D404*(1-E404)</x:f>
        <x:v>279.2</x:v>
      </x:c>
      <x:c r="I404" s="15" t="n">
        <x:f>F404+G404</x:f>
        <x:v>210</x:v>
      </x:c>
      <x:c r="J404" s="15" t="n">
        <x:f>H404-I404</x:f>
        <x:v>69.19999999999999</x:v>
      </x:c>
      <x:c r="K404" s="16" t="n">
        <x:f>IFERROR(J404/H404,0)</x:f>
        <x:v>0.2478510028653295</x:v>
      </x:c>
      <x:c r="L404" s="14" t="str">
        <x:f>IF(J404&gt;0,"Provisional positive contribution","Not viable")</x:f>
        <x:v>Provisional positive contribution</x:v>
      </x:c>
    </x:row>
    <x:row r="405">
      <x:c r="A405" s="14" t="str">
        <x:v>240gsm Oversized</x:v>
      </x:c>
      <x:c r="B405" s="14" t="n">
        <x:v>50</x:v>
      </x:c>
      <x:c r="C405" s="15" t="n">
        <x:v>649</x:v>
      </x:c>
      <x:c r="D405" s="15" t="n">
        <x:v>349</x:v>
      </x:c>
      <x:c r="E405" s="16" t="n">
        <x:v>0.25</x:v>
      </x:c>
      <x:c r="F405" s="15" t="n">
        <x:f>INDEX('Inputs'!$D$4:$D$6,MATCH(A405,'Inputs'!$A$4:$A$6,0))</x:f>
        <x:v>125</x:v>
      </x:c>
      <x:c r="G405" s="15" t="n">
        <x:f>INDEX('Inputs'!$E$4:$E$6,MATCH(A405,'Inputs'!$A$4:$A$6,0))</x:f>
        <x:v>85</x:v>
      </x:c>
      <x:c r="H405" s="15" t="n">
        <x:f>D405*(1-E405)</x:f>
        <x:v>261.75</x:v>
      </x:c>
      <x:c r="I405" s="15" t="n">
        <x:f>F405+G405</x:f>
        <x:v>210</x:v>
      </x:c>
      <x:c r="J405" s="15" t="n">
        <x:f>H405-I405</x:f>
        <x:v>51.75</x:v>
      </x:c>
      <x:c r="K405" s="16" t="n">
        <x:f>IFERROR(J405/H405,0)</x:f>
        <x:v>0.1977077363896848</x:v>
      </x:c>
      <x:c r="L405" s="14" t="str">
        <x:f>IF(J405&gt;0,"Provisional positive contribution","Not viable")</x:f>
        <x:v>Provisional positive contribution</x:v>
      </x:c>
    </x:row>
    <x:row r="406">
      <x:c r="A406" s="14" t="str">
        <x:v>240gsm Oversized</x:v>
      </x:c>
      <x:c r="B406" s="14" t="n">
        <x:v>50</x:v>
      </x:c>
      <x:c r="C406" s="15" t="n">
        <x:v>649</x:v>
      </x:c>
      <x:c r="D406" s="15" t="n">
        <x:v>349</x:v>
      </x:c>
      <x:c r="E406" s="16" t="n">
        <x:v>0.3</x:v>
      </x:c>
      <x:c r="F406" s="15" t="n">
        <x:f>INDEX('Inputs'!$D$4:$D$6,MATCH(A406,'Inputs'!$A$4:$A$6,0))</x:f>
        <x:v>125</x:v>
      </x:c>
      <x:c r="G406" s="15" t="n">
        <x:f>INDEX('Inputs'!$E$4:$E$6,MATCH(A406,'Inputs'!$A$4:$A$6,0))</x:f>
        <x:v>85</x:v>
      </x:c>
      <x:c r="H406" s="15" t="n">
        <x:f>D406*(1-E406)</x:f>
        <x:v>244.29999999999998</x:v>
      </x:c>
      <x:c r="I406" s="15" t="n">
        <x:f>F406+G406</x:f>
        <x:v>210</x:v>
      </x:c>
      <x:c r="J406" s="15" t="n">
        <x:f>H406-I406</x:f>
        <x:v>34.29999999999998</x:v>
      </x:c>
      <x:c r="K406" s="16" t="n">
        <x:f>IFERROR(J406/H406,0)</x:f>
        <x:v>0.1404011461318051</x:v>
      </x:c>
      <x:c r="L406" s="14" t="str">
        <x:f>IF(J406&gt;0,"Provisional positive contribution","Not viable")</x:f>
        <x:v>Provisional positive contribution</x:v>
      </x:c>
    </x:row>
    <x:row r="407">
      <x:c r="A407" s="14" t="str">
        <x:v>240gsm Oversized</x:v>
      </x:c>
      <x:c r="B407" s="14" t="n">
        <x:v>50</x:v>
      </x:c>
      <x:c r="C407" s="15" t="n">
        <x:v>649</x:v>
      </x:c>
      <x:c r="D407" s="15" t="n">
        <x:v>349</x:v>
      </x:c>
      <x:c r="E407" s="16" t="n">
        <x:v>0.35</x:v>
      </x:c>
      <x:c r="F407" s="15" t="n">
        <x:f>INDEX('Inputs'!$D$4:$D$6,MATCH(A407,'Inputs'!$A$4:$A$6,0))</x:f>
        <x:v>125</x:v>
      </x:c>
      <x:c r="G407" s="15" t="n">
        <x:f>INDEX('Inputs'!$E$4:$E$6,MATCH(A407,'Inputs'!$A$4:$A$6,0))</x:f>
        <x:v>85</x:v>
      </x:c>
      <x:c r="H407" s="15" t="n">
        <x:f>D407*(1-E407)</x:f>
        <x:v>226.85</x:v>
      </x:c>
      <x:c r="I407" s="15" t="n">
        <x:f>F407+G407</x:f>
        <x:v>210</x:v>
      </x:c>
      <x:c r="J407" s="15" t="n">
        <x:f>H407-I407</x:f>
        <x:v>16.849999999999994</x:v>
      </x:c>
      <x:c r="K407" s="16" t="n">
        <x:f>IFERROR(J407/H407,0)</x:f>
        <x:v>0.07427815737271322</x:v>
      </x:c>
      <x:c r="L407" s="14" t="str">
        <x:f>IF(J407&gt;0,"Provisional positive contribution","Not viable")</x:f>
        <x:v>Provisional positive contribution</x:v>
      </x:c>
    </x:row>
    <x:row r="408">
      <x:c r="A408" s="14" t="str">
        <x:v>240gsm Oversized</x:v>
      </x:c>
      <x:c r="B408" s="14" t="n">
        <x:v>50</x:v>
      </x:c>
      <x:c r="C408" s="15" t="n">
        <x:v>649</x:v>
      </x:c>
      <x:c r="D408" s="15" t="n">
        <x:v>399</x:v>
      </x:c>
      <x:c r="E408" s="16" t="n">
        <x:v>0.2</x:v>
      </x:c>
      <x:c r="F408" s="15" t="n">
        <x:f>INDEX('Inputs'!$D$4:$D$6,MATCH(A408,'Inputs'!$A$4:$A$6,0))</x:f>
        <x:v>125</x:v>
      </x:c>
      <x:c r="G408" s="15" t="n">
        <x:f>INDEX('Inputs'!$E$4:$E$6,MATCH(A408,'Inputs'!$A$4:$A$6,0))</x:f>
        <x:v>85</x:v>
      </x:c>
      <x:c r="H408" s="15" t="n">
        <x:f>D408*(1-E408)</x:f>
        <x:v>319.20000000000005</x:v>
      </x:c>
      <x:c r="I408" s="15" t="n">
        <x:f>F408+G408</x:f>
        <x:v>210</x:v>
      </x:c>
      <x:c r="J408" s="15" t="n">
        <x:f>H408-I408</x:f>
        <x:v>109.20000000000005</x:v>
      </x:c>
      <x:c r="K408" s="16" t="n">
        <x:f>IFERROR(J408/H408,0)</x:f>
        <x:v>0.34210526315789486</x:v>
      </x:c>
      <x:c r="L408" s="14" t="str">
        <x:f>IF(J408&gt;0,"Provisional positive contribution","Not viable")</x:f>
        <x:v>Provisional positive contribution</x:v>
      </x:c>
    </x:row>
    <x:row r="409">
      <x:c r="A409" s="14" t="str">
        <x:v>240gsm Oversized</x:v>
      </x:c>
      <x:c r="B409" s="14" t="n">
        <x:v>50</x:v>
      </x:c>
      <x:c r="C409" s="15" t="n">
        <x:v>649</x:v>
      </x:c>
      <x:c r="D409" s="15" t="n">
        <x:v>399</x:v>
      </x:c>
      <x:c r="E409" s="16" t="n">
        <x:v>0.25</x:v>
      </x:c>
      <x:c r="F409" s="15" t="n">
        <x:f>INDEX('Inputs'!$D$4:$D$6,MATCH(A409,'Inputs'!$A$4:$A$6,0))</x:f>
        <x:v>125</x:v>
      </x:c>
      <x:c r="G409" s="15" t="n">
        <x:f>INDEX('Inputs'!$E$4:$E$6,MATCH(A409,'Inputs'!$A$4:$A$6,0))</x:f>
        <x:v>85</x:v>
      </x:c>
      <x:c r="H409" s="15" t="n">
        <x:f>D409*(1-E409)</x:f>
        <x:v>299.25</x:v>
      </x:c>
      <x:c r="I409" s="15" t="n">
        <x:f>F409+G409</x:f>
        <x:v>210</x:v>
      </x:c>
      <x:c r="J409" s="15" t="n">
        <x:f>H409-I409</x:f>
        <x:v>89.25</x:v>
      </x:c>
      <x:c r="K409" s="16" t="n">
        <x:f>IFERROR(J409/H409,0)</x:f>
        <x:v>0.2982456140350877</x:v>
      </x:c>
      <x:c r="L409" s="14" t="str">
        <x:f>IF(J409&gt;0,"Provisional positive contribution","Not viable")</x:f>
        <x:v>Provisional positive contribution</x:v>
      </x:c>
    </x:row>
    <x:row r="410">
      <x:c r="A410" s="14" t="str">
        <x:v>240gsm Oversized</x:v>
      </x:c>
      <x:c r="B410" s="14" t="n">
        <x:v>50</x:v>
      </x:c>
      <x:c r="C410" s="15" t="n">
        <x:v>649</x:v>
      </x:c>
      <x:c r="D410" s="15" t="n">
        <x:v>399</x:v>
      </x:c>
      <x:c r="E410" s="16" t="n">
        <x:v>0.3</x:v>
      </x:c>
      <x:c r="F410" s="15" t="n">
        <x:f>INDEX('Inputs'!$D$4:$D$6,MATCH(A410,'Inputs'!$A$4:$A$6,0))</x:f>
        <x:v>125</x:v>
      </x:c>
      <x:c r="G410" s="15" t="n">
        <x:f>INDEX('Inputs'!$E$4:$E$6,MATCH(A410,'Inputs'!$A$4:$A$6,0))</x:f>
        <x:v>85</x:v>
      </x:c>
      <x:c r="H410" s="15" t="n">
        <x:f>D410*(1-E410)</x:f>
        <x:v>279.29999999999995</x:v>
      </x:c>
      <x:c r="I410" s="15" t="n">
        <x:f>F410+G410</x:f>
        <x:v>210</x:v>
      </x:c>
      <x:c r="J410" s="15" t="n">
        <x:f>H410-I410</x:f>
        <x:v>69.29999999999995</x:v>
      </x:c>
      <x:c r="K410" s="16" t="n">
        <x:f>IFERROR(J410/H410,0)</x:f>
        <x:v>0.24812030075187957</x:v>
      </x:c>
      <x:c r="L410" s="14" t="str">
        <x:f>IF(J410&gt;0,"Provisional positive contribution","Not viable")</x:f>
        <x:v>Provisional positive contribution</x:v>
      </x:c>
    </x:row>
    <x:row r="411">
      <x:c r="A411" s="14" t="str">
        <x:v>240gsm Oversized</x:v>
      </x:c>
      <x:c r="B411" s="14" t="n">
        <x:v>50</x:v>
      </x:c>
      <x:c r="C411" s="15" t="n">
        <x:v>649</x:v>
      </x:c>
      <x:c r="D411" s="15" t="n">
        <x:v>399</x:v>
      </x:c>
      <x:c r="E411" s="16" t="n">
        <x:v>0.35</x:v>
      </x:c>
      <x:c r="F411" s="15" t="n">
        <x:f>INDEX('Inputs'!$D$4:$D$6,MATCH(A411,'Inputs'!$A$4:$A$6,0))</x:f>
        <x:v>125</x:v>
      </x:c>
      <x:c r="G411" s="15" t="n">
        <x:f>INDEX('Inputs'!$E$4:$E$6,MATCH(A411,'Inputs'!$A$4:$A$6,0))</x:f>
        <x:v>85</x:v>
      </x:c>
      <x:c r="H411" s="15" t="n">
        <x:f>D411*(1-E411)</x:f>
        <x:v>259.35</x:v>
      </x:c>
      <x:c r="I411" s="15" t="n">
        <x:f>F411+G411</x:f>
        <x:v>210</x:v>
      </x:c>
      <x:c r="J411" s="15" t="n">
        <x:f>H411-I411</x:f>
        <x:v>49.35000000000002</x:v>
      </x:c>
      <x:c r="K411" s="16" t="n">
        <x:f>IFERROR(J411/H411,0)</x:f>
        <x:v>0.19028340080971667</x:v>
      </x:c>
      <x:c r="L411" s="14" t="str">
        <x:f>IF(J411&gt;0,"Provisional positive contribution","Not viable")</x:f>
        <x:v>Provisional positive contribution</x:v>
      </x:c>
    </x:row>
    <x:row r="412">
      <x:c r="A412" s="14" t="str">
        <x:v>240gsm Oversized</x:v>
      </x:c>
      <x:c r="B412" s="14" t="n">
        <x:v>50</x:v>
      </x:c>
      <x:c r="C412" s="15" t="n">
        <x:v>649</x:v>
      </x:c>
      <x:c r="D412" s="15" t="n">
        <x:v>449</x:v>
      </x:c>
      <x:c r="E412" s="16" t="n">
        <x:v>0.2</x:v>
      </x:c>
      <x:c r="F412" s="15" t="n">
        <x:f>INDEX('Inputs'!$D$4:$D$6,MATCH(A412,'Inputs'!$A$4:$A$6,0))</x:f>
        <x:v>125</x:v>
      </x:c>
      <x:c r="G412" s="15" t="n">
        <x:f>INDEX('Inputs'!$E$4:$E$6,MATCH(A412,'Inputs'!$A$4:$A$6,0))</x:f>
        <x:v>85</x:v>
      </x:c>
      <x:c r="H412" s="15" t="n">
        <x:f>D412*(1-E412)</x:f>
        <x:v>359.20000000000005</x:v>
      </x:c>
      <x:c r="I412" s="15" t="n">
        <x:f>F412+G412</x:f>
        <x:v>210</x:v>
      </x:c>
      <x:c r="J412" s="15" t="n">
        <x:f>H412-I412</x:f>
        <x:v>149.20000000000005</x:v>
      </x:c>
      <x:c r="K412" s="16" t="n">
        <x:f>IFERROR(J412/H412,0)</x:f>
        <x:v>0.41536748329621387</x:v>
      </x:c>
      <x:c r="L412" s="14" t="str">
        <x:f>IF(J412&gt;0,"Provisional positive contribution","Not viable")</x:f>
        <x:v>Provisional positive contribution</x:v>
      </x:c>
    </x:row>
    <x:row r="413">
      <x:c r="A413" s="14" t="str">
        <x:v>240gsm Oversized</x:v>
      </x:c>
      <x:c r="B413" s="14" t="n">
        <x:v>50</x:v>
      </x:c>
      <x:c r="C413" s="15" t="n">
        <x:v>649</x:v>
      </x:c>
      <x:c r="D413" s="15" t="n">
        <x:v>449</x:v>
      </x:c>
      <x:c r="E413" s="16" t="n">
        <x:v>0.25</x:v>
      </x:c>
      <x:c r="F413" s="15" t="n">
        <x:f>INDEX('Inputs'!$D$4:$D$6,MATCH(A413,'Inputs'!$A$4:$A$6,0))</x:f>
        <x:v>125</x:v>
      </x:c>
      <x:c r="G413" s="15" t="n">
        <x:f>INDEX('Inputs'!$E$4:$E$6,MATCH(A413,'Inputs'!$A$4:$A$6,0))</x:f>
        <x:v>85</x:v>
      </x:c>
      <x:c r="H413" s="15" t="n">
        <x:f>D413*(1-E413)</x:f>
        <x:v>336.75</x:v>
      </x:c>
      <x:c r="I413" s="15" t="n">
        <x:f>F413+G413</x:f>
        <x:v>210</x:v>
      </x:c>
      <x:c r="J413" s="15" t="n">
        <x:f>H413-I413</x:f>
        <x:v>126.75</x:v>
      </x:c>
      <x:c r="K413" s="16" t="n">
        <x:f>IFERROR(J413/H413,0)</x:f>
        <x:v>0.37639198218262804</x:v>
      </x:c>
      <x:c r="L413" s="14" t="str">
        <x:f>IF(J413&gt;0,"Provisional positive contribution","Not viable")</x:f>
        <x:v>Provisional positive contribution</x:v>
      </x:c>
    </x:row>
    <x:row r="414">
      <x:c r="A414" s="14" t="str">
        <x:v>240gsm Oversized</x:v>
      </x:c>
      <x:c r="B414" s="14" t="n">
        <x:v>50</x:v>
      </x:c>
      <x:c r="C414" s="15" t="n">
        <x:v>649</x:v>
      </x:c>
      <x:c r="D414" s="15" t="n">
        <x:v>449</x:v>
      </x:c>
      <x:c r="E414" s="16" t="n">
        <x:v>0.3</x:v>
      </x:c>
      <x:c r="F414" s="15" t="n">
        <x:f>INDEX('Inputs'!$D$4:$D$6,MATCH(A414,'Inputs'!$A$4:$A$6,0))</x:f>
        <x:v>125</x:v>
      </x:c>
      <x:c r="G414" s="15" t="n">
        <x:f>INDEX('Inputs'!$E$4:$E$6,MATCH(A414,'Inputs'!$A$4:$A$6,0))</x:f>
        <x:v>85</x:v>
      </x:c>
      <x:c r="H414" s="15" t="n">
        <x:f>D414*(1-E414)</x:f>
        <x:v>314.29999999999995</x:v>
      </x:c>
      <x:c r="I414" s="15" t="n">
        <x:f>F414+G414</x:f>
        <x:v>210</x:v>
      </x:c>
      <x:c r="J414" s="15" t="n">
        <x:f>H414-I414</x:f>
        <x:v>104.29999999999995</x:v>
      </x:c>
      <x:c r="K414" s="16" t="n">
        <x:f>IFERROR(J414/H414,0)</x:f>
        <x:v>0.33184855233852995</x:v>
      </x:c>
      <x:c r="L414" s="14" t="str">
        <x:f>IF(J414&gt;0,"Provisional positive contribution","Not viable")</x:f>
        <x:v>Provisional positive contribution</x:v>
      </x:c>
    </x:row>
    <x:row r="415">
      <x:c r="A415" s="14" t="str">
        <x:v>240gsm Oversized</x:v>
      </x:c>
      <x:c r="B415" s="14" t="n">
        <x:v>50</x:v>
      </x:c>
      <x:c r="C415" s="15" t="n">
        <x:v>649</x:v>
      </x:c>
      <x:c r="D415" s="15" t="n">
        <x:v>449</x:v>
      </x:c>
      <x:c r="E415" s="16" t="n">
        <x:v>0.35</x:v>
      </x:c>
      <x:c r="F415" s="15" t="n">
        <x:f>INDEX('Inputs'!$D$4:$D$6,MATCH(A415,'Inputs'!$A$4:$A$6,0))</x:f>
        <x:v>125</x:v>
      </x:c>
      <x:c r="G415" s="15" t="n">
        <x:f>INDEX('Inputs'!$E$4:$E$6,MATCH(A415,'Inputs'!$A$4:$A$6,0))</x:f>
        <x:v>85</x:v>
      </x:c>
      <x:c r="H415" s="15" t="n">
        <x:f>D415*(1-E415)</x:f>
        <x:v>291.85</x:v>
      </x:c>
      <x:c r="I415" s="15" t="n">
        <x:f>F415+G415</x:f>
        <x:v>210</x:v>
      </x:c>
      <x:c r="J415" s="15" t="n">
        <x:f>H415-I415</x:f>
        <x:v>81.85000000000002</x:v>
      </x:c>
      <x:c r="K415" s="16" t="n">
        <x:f>IFERROR(J415/H415,0)</x:f>
        <x:v>0.28045228713380166</x:v>
      </x:c>
      <x:c r="L415" s="14" t="str">
        <x:f>IF(J415&gt;0,"Provisional positive contribution","Not viable")</x:f>
        <x:v>Provisional positive contribution</x:v>
      </x:c>
    </x:row>
    <x:row r="416">
      <x:c r="A416" s="14" t="str">
        <x:v>240gsm Oversized</x:v>
      </x:c>
      <x:c r="B416" s="14" t="n">
        <x:v>50</x:v>
      </x:c>
      <x:c r="C416" s="15" t="n">
        <x:v>649</x:v>
      </x:c>
      <x:c r="D416" s="15" t="n">
        <x:v>499</x:v>
      </x:c>
      <x:c r="E416" s="16" t="n">
        <x:v>0.2</x:v>
      </x:c>
      <x:c r="F416" s="15" t="n">
        <x:f>INDEX('Inputs'!$D$4:$D$6,MATCH(A416,'Inputs'!$A$4:$A$6,0))</x:f>
        <x:v>125</x:v>
      </x:c>
      <x:c r="G416" s="15" t="n">
        <x:f>INDEX('Inputs'!$E$4:$E$6,MATCH(A416,'Inputs'!$A$4:$A$6,0))</x:f>
        <x:v>85</x:v>
      </x:c>
      <x:c r="H416" s="15" t="n">
        <x:f>D416*(1-E416)</x:f>
        <x:v>399.20000000000005</x:v>
      </x:c>
      <x:c r="I416" s="15" t="n">
        <x:f>F416+G416</x:f>
        <x:v>210</x:v>
      </x:c>
      <x:c r="J416" s="15" t="n">
        <x:f>H416-I416</x:f>
        <x:v>189.20000000000005</x:v>
      </x:c>
      <x:c r="K416" s="16" t="n">
        <x:f>IFERROR(J416/H416,0)</x:f>
        <x:v>0.47394789579158325</x:v>
      </x:c>
      <x:c r="L416" s="14" t="str">
        <x:f>IF(J416&gt;0,"Provisional positive contribution","Not viable")</x:f>
        <x:v>Provisional positive contribution</x:v>
      </x:c>
    </x:row>
    <x:row r="417">
      <x:c r="A417" s="14" t="str">
        <x:v>240gsm Oversized</x:v>
      </x:c>
      <x:c r="B417" s="14" t="n">
        <x:v>50</x:v>
      </x:c>
      <x:c r="C417" s="15" t="n">
        <x:v>649</x:v>
      </x:c>
      <x:c r="D417" s="15" t="n">
        <x:v>499</x:v>
      </x:c>
      <x:c r="E417" s="16" t="n">
        <x:v>0.25</x:v>
      </x:c>
      <x:c r="F417" s="15" t="n">
        <x:f>INDEX('Inputs'!$D$4:$D$6,MATCH(A417,'Inputs'!$A$4:$A$6,0))</x:f>
        <x:v>125</x:v>
      </x:c>
      <x:c r="G417" s="15" t="n">
        <x:f>INDEX('Inputs'!$E$4:$E$6,MATCH(A417,'Inputs'!$A$4:$A$6,0))</x:f>
        <x:v>85</x:v>
      </x:c>
      <x:c r="H417" s="15" t="n">
        <x:f>D417*(1-E417)</x:f>
        <x:v>374.25</x:v>
      </x:c>
      <x:c r="I417" s="15" t="n">
        <x:f>F417+G417</x:f>
        <x:v>210</x:v>
      </x:c>
      <x:c r="J417" s="15" t="n">
        <x:f>H417-I417</x:f>
        <x:v>164.25</x:v>
      </x:c>
      <x:c r="K417" s="16" t="n">
        <x:f>IFERROR(J417/H417,0)</x:f>
        <x:v>0.43887775551102204</x:v>
      </x:c>
      <x:c r="L417" s="14" t="str">
        <x:f>IF(J417&gt;0,"Provisional positive contribution","Not viable")</x:f>
        <x:v>Provisional positive contribution</x:v>
      </x:c>
    </x:row>
    <x:row r="418">
      <x:c r="A418" s="14" t="str">
        <x:v>240gsm Oversized</x:v>
      </x:c>
      <x:c r="B418" s="14" t="n">
        <x:v>50</x:v>
      </x:c>
      <x:c r="C418" s="15" t="n">
        <x:v>649</x:v>
      </x:c>
      <x:c r="D418" s="15" t="n">
        <x:v>499</x:v>
      </x:c>
      <x:c r="E418" s="16" t="n">
        <x:v>0.3</x:v>
      </x:c>
      <x:c r="F418" s="15" t="n">
        <x:f>INDEX('Inputs'!$D$4:$D$6,MATCH(A418,'Inputs'!$A$4:$A$6,0))</x:f>
        <x:v>125</x:v>
      </x:c>
      <x:c r="G418" s="15" t="n">
        <x:f>INDEX('Inputs'!$E$4:$E$6,MATCH(A418,'Inputs'!$A$4:$A$6,0))</x:f>
        <x:v>85</x:v>
      </x:c>
      <x:c r="H418" s="15" t="n">
        <x:f>D418*(1-E418)</x:f>
        <x:v>349.29999999999995</x:v>
      </x:c>
      <x:c r="I418" s="15" t="n">
        <x:f>F418+G418</x:f>
        <x:v>210</x:v>
      </x:c>
      <x:c r="J418" s="15" t="n">
        <x:f>H418-I418</x:f>
        <x:v>139.29999999999995</x:v>
      </x:c>
      <x:c r="K418" s="16" t="n">
        <x:f>IFERROR(J418/H418,0)</x:f>
        <x:v>0.39879759519038066</x:v>
      </x:c>
      <x:c r="L418" s="14" t="str">
        <x:f>IF(J418&gt;0,"Provisional positive contribution","Not viable")</x:f>
        <x:v>Provisional positive contribution</x:v>
      </x:c>
    </x:row>
    <x:row r="419">
      <x:c r="A419" s="14" t="str">
        <x:v>240gsm Oversized</x:v>
      </x:c>
      <x:c r="B419" s="14" t="n">
        <x:v>50</x:v>
      </x:c>
      <x:c r="C419" s="15" t="n">
        <x:v>649</x:v>
      </x:c>
      <x:c r="D419" s="15" t="n">
        <x:v>499</x:v>
      </x:c>
      <x:c r="E419" s="16" t="n">
        <x:v>0.35</x:v>
      </x:c>
      <x:c r="F419" s="15" t="n">
        <x:f>INDEX('Inputs'!$D$4:$D$6,MATCH(A419,'Inputs'!$A$4:$A$6,0))</x:f>
        <x:v>125</x:v>
      </x:c>
      <x:c r="G419" s="15" t="n">
        <x:f>INDEX('Inputs'!$E$4:$E$6,MATCH(A419,'Inputs'!$A$4:$A$6,0))</x:f>
        <x:v>85</x:v>
      </x:c>
      <x:c r="H419" s="15" t="n">
        <x:f>D419*(1-E419)</x:f>
        <x:v>324.35</x:v>
      </x:c>
      <x:c r="I419" s="15" t="n">
        <x:f>F419+G419</x:f>
        <x:v>210</x:v>
      </x:c>
      <x:c r="J419" s="15" t="n">
        <x:f>H419-I419</x:f>
        <x:v>114.35000000000002</x:v>
      </x:c>
      <x:c r="K419" s="16" t="n">
        <x:f>IFERROR(J419/H419,0)</x:f>
        <x:v>0.35255125635887163</x:v>
      </x:c>
      <x:c r="L419" s="14" t="str">
        <x:f>IF(J419&gt;0,"Provisional positive contribution","Not viable")</x:f>
        <x:v>Provisional positive contribution</x:v>
      </x:c>
    </x:row>
    <x:row r="420">
      <x:c r="A420" s="14" t="str">
        <x:v>240gsm Oversized</x:v>
      </x:c>
      <x:c r="B420" s="14" t="n">
        <x:v>50</x:v>
      </x:c>
      <x:c r="C420" s="15" t="n">
        <x:v>699</x:v>
      </x:c>
      <x:c r="D420" s="15" t="n">
        <x:v>349</x:v>
      </x:c>
      <x:c r="E420" s="16" t="n">
        <x:v>0.2</x:v>
      </x:c>
      <x:c r="F420" s="15" t="n">
        <x:f>INDEX('Inputs'!$D$4:$D$6,MATCH(A420,'Inputs'!$A$4:$A$6,0))</x:f>
        <x:v>125</x:v>
      </x:c>
      <x:c r="G420" s="15" t="n">
        <x:f>INDEX('Inputs'!$E$4:$E$6,MATCH(A420,'Inputs'!$A$4:$A$6,0))</x:f>
        <x:v>85</x:v>
      </x:c>
      <x:c r="H420" s="15" t="n">
        <x:f>D420*(1-E420)</x:f>
        <x:v>279.2</x:v>
      </x:c>
      <x:c r="I420" s="15" t="n">
        <x:f>F420+G420</x:f>
        <x:v>210</x:v>
      </x:c>
      <x:c r="J420" s="15" t="n">
        <x:f>H420-I420</x:f>
        <x:v>69.19999999999999</x:v>
      </x:c>
      <x:c r="K420" s="16" t="n">
        <x:f>IFERROR(J420/H420,0)</x:f>
        <x:v>0.2478510028653295</x:v>
      </x:c>
      <x:c r="L420" s="14" t="str">
        <x:f>IF(J420&gt;0,"Provisional positive contribution","Not viable")</x:f>
        <x:v>Provisional positive contribution</x:v>
      </x:c>
    </x:row>
    <x:row r="421">
      <x:c r="A421" s="14" t="str">
        <x:v>240gsm Oversized</x:v>
      </x:c>
      <x:c r="B421" s="14" t="n">
        <x:v>50</x:v>
      </x:c>
      <x:c r="C421" s="15" t="n">
        <x:v>699</x:v>
      </x:c>
      <x:c r="D421" s="15" t="n">
        <x:v>349</x:v>
      </x:c>
      <x:c r="E421" s="16" t="n">
        <x:v>0.25</x:v>
      </x:c>
      <x:c r="F421" s="15" t="n">
        <x:f>INDEX('Inputs'!$D$4:$D$6,MATCH(A421,'Inputs'!$A$4:$A$6,0))</x:f>
        <x:v>125</x:v>
      </x:c>
      <x:c r="G421" s="15" t="n">
        <x:f>INDEX('Inputs'!$E$4:$E$6,MATCH(A421,'Inputs'!$A$4:$A$6,0))</x:f>
        <x:v>85</x:v>
      </x:c>
      <x:c r="H421" s="15" t="n">
        <x:f>D421*(1-E421)</x:f>
        <x:v>261.75</x:v>
      </x:c>
      <x:c r="I421" s="15" t="n">
        <x:f>F421+G421</x:f>
        <x:v>210</x:v>
      </x:c>
      <x:c r="J421" s="15" t="n">
        <x:f>H421-I421</x:f>
        <x:v>51.75</x:v>
      </x:c>
      <x:c r="K421" s="16" t="n">
        <x:f>IFERROR(J421/H421,0)</x:f>
        <x:v>0.1977077363896848</x:v>
      </x:c>
      <x:c r="L421" s="14" t="str">
        <x:f>IF(J421&gt;0,"Provisional positive contribution","Not viable")</x:f>
        <x:v>Provisional positive contribution</x:v>
      </x:c>
    </x:row>
    <x:row r="422">
      <x:c r="A422" s="14" t="str">
        <x:v>240gsm Oversized</x:v>
      </x:c>
      <x:c r="B422" s="14" t="n">
        <x:v>50</x:v>
      </x:c>
      <x:c r="C422" s="15" t="n">
        <x:v>699</x:v>
      </x:c>
      <x:c r="D422" s="15" t="n">
        <x:v>349</x:v>
      </x:c>
      <x:c r="E422" s="16" t="n">
        <x:v>0.3</x:v>
      </x:c>
      <x:c r="F422" s="15" t="n">
        <x:f>INDEX('Inputs'!$D$4:$D$6,MATCH(A422,'Inputs'!$A$4:$A$6,0))</x:f>
        <x:v>125</x:v>
      </x:c>
      <x:c r="G422" s="15" t="n">
        <x:f>INDEX('Inputs'!$E$4:$E$6,MATCH(A422,'Inputs'!$A$4:$A$6,0))</x:f>
        <x:v>85</x:v>
      </x:c>
      <x:c r="H422" s="15" t="n">
        <x:f>D422*(1-E422)</x:f>
        <x:v>244.29999999999998</x:v>
      </x:c>
      <x:c r="I422" s="15" t="n">
        <x:f>F422+G422</x:f>
        <x:v>210</x:v>
      </x:c>
      <x:c r="J422" s="15" t="n">
        <x:f>H422-I422</x:f>
        <x:v>34.29999999999998</x:v>
      </x:c>
      <x:c r="K422" s="16" t="n">
        <x:f>IFERROR(J422/H422,0)</x:f>
        <x:v>0.1404011461318051</x:v>
      </x:c>
      <x:c r="L422" s="14" t="str">
        <x:f>IF(J422&gt;0,"Provisional positive contribution","Not viable")</x:f>
        <x:v>Provisional positive contribution</x:v>
      </x:c>
    </x:row>
    <x:row r="423">
      <x:c r="A423" s="14" t="str">
        <x:v>240gsm Oversized</x:v>
      </x:c>
      <x:c r="B423" s="14" t="n">
        <x:v>50</x:v>
      </x:c>
      <x:c r="C423" s="15" t="n">
        <x:v>699</x:v>
      </x:c>
      <x:c r="D423" s="15" t="n">
        <x:v>349</x:v>
      </x:c>
      <x:c r="E423" s="16" t="n">
        <x:v>0.35</x:v>
      </x:c>
      <x:c r="F423" s="15" t="n">
        <x:f>INDEX('Inputs'!$D$4:$D$6,MATCH(A423,'Inputs'!$A$4:$A$6,0))</x:f>
        <x:v>125</x:v>
      </x:c>
      <x:c r="G423" s="15" t="n">
        <x:f>INDEX('Inputs'!$E$4:$E$6,MATCH(A423,'Inputs'!$A$4:$A$6,0))</x:f>
        <x:v>85</x:v>
      </x:c>
      <x:c r="H423" s="15" t="n">
        <x:f>D423*(1-E423)</x:f>
        <x:v>226.85</x:v>
      </x:c>
      <x:c r="I423" s="15" t="n">
        <x:f>F423+G423</x:f>
        <x:v>210</x:v>
      </x:c>
      <x:c r="J423" s="15" t="n">
        <x:f>H423-I423</x:f>
        <x:v>16.849999999999994</x:v>
      </x:c>
      <x:c r="K423" s="16" t="n">
        <x:f>IFERROR(J423/H423,0)</x:f>
        <x:v>0.07427815737271322</x:v>
      </x:c>
      <x:c r="L423" s="14" t="str">
        <x:f>IF(J423&gt;0,"Provisional positive contribution","Not viable")</x:f>
        <x:v>Provisional positive contribution</x:v>
      </x:c>
    </x:row>
    <x:row r="424">
      <x:c r="A424" s="14" t="str">
        <x:v>240gsm Oversized</x:v>
      </x:c>
      <x:c r="B424" s="14" t="n">
        <x:v>50</x:v>
      </x:c>
      <x:c r="C424" s="15" t="n">
        <x:v>699</x:v>
      </x:c>
      <x:c r="D424" s="15" t="n">
        <x:v>399</x:v>
      </x:c>
      <x:c r="E424" s="16" t="n">
        <x:v>0.2</x:v>
      </x:c>
      <x:c r="F424" s="15" t="n">
        <x:f>INDEX('Inputs'!$D$4:$D$6,MATCH(A424,'Inputs'!$A$4:$A$6,0))</x:f>
        <x:v>125</x:v>
      </x:c>
      <x:c r="G424" s="15" t="n">
        <x:f>INDEX('Inputs'!$E$4:$E$6,MATCH(A424,'Inputs'!$A$4:$A$6,0))</x:f>
        <x:v>85</x:v>
      </x:c>
      <x:c r="H424" s="15" t="n">
        <x:f>D424*(1-E424)</x:f>
        <x:v>319.20000000000005</x:v>
      </x:c>
      <x:c r="I424" s="15" t="n">
        <x:f>F424+G424</x:f>
        <x:v>210</x:v>
      </x:c>
      <x:c r="J424" s="15" t="n">
        <x:f>H424-I424</x:f>
        <x:v>109.20000000000005</x:v>
      </x:c>
      <x:c r="K424" s="16" t="n">
        <x:f>IFERROR(J424/H424,0)</x:f>
        <x:v>0.34210526315789486</x:v>
      </x:c>
      <x:c r="L424" s="14" t="str">
        <x:f>IF(J424&gt;0,"Provisional positive contribution","Not viable")</x:f>
        <x:v>Provisional positive contribution</x:v>
      </x:c>
    </x:row>
    <x:row r="425">
      <x:c r="A425" s="14" t="str">
        <x:v>240gsm Oversized</x:v>
      </x:c>
      <x:c r="B425" s="14" t="n">
        <x:v>50</x:v>
      </x:c>
      <x:c r="C425" s="15" t="n">
        <x:v>699</x:v>
      </x:c>
      <x:c r="D425" s="15" t="n">
        <x:v>399</x:v>
      </x:c>
      <x:c r="E425" s="16" t="n">
        <x:v>0.25</x:v>
      </x:c>
      <x:c r="F425" s="15" t="n">
        <x:f>INDEX('Inputs'!$D$4:$D$6,MATCH(A425,'Inputs'!$A$4:$A$6,0))</x:f>
        <x:v>125</x:v>
      </x:c>
      <x:c r="G425" s="15" t="n">
        <x:f>INDEX('Inputs'!$E$4:$E$6,MATCH(A425,'Inputs'!$A$4:$A$6,0))</x:f>
        <x:v>85</x:v>
      </x:c>
      <x:c r="H425" s="15" t="n">
        <x:f>D425*(1-E425)</x:f>
        <x:v>299.25</x:v>
      </x:c>
      <x:c r="I425" s="15" t="n">
        <x:f>F425+G425</x:f>
        <x:v>210</x:v>
      </x:c>
      <x:c r="J425" s="15" t="n">
        <x:f>H425-I425</x:f>
        <x:v>89.25</x:v>
      </x:c>
      <x:c r="K425" s="16" t="n">
        <x:f>IFERROR(J425/H425,0)</x:f>
        <x:v>0.2982456140350877</x:v>
      </x:c>
      <x:c r="L425" s="14" t="str">
        <x:f>IF(J425&gt;0,"Provisional positive contribution","Not viable")</x:f>
        <x:v>Provisional positive contribution</x:v>
      </x:c>
    </x:row>
    <x:row r="426">
      <x:c r="A426" s="14" t="str">
        <x:v>240gsm Oversized</x:v>
      </x:c>
      <x:c r="B426" s="14" t="n">
        <x:v>50</x:v>
      </x:c>
      <x:c r="C426" s="15" t="n">
        <x:v>699</x:v>
      </x:c>
      <x:c r="D426" s="15" t="n">
        <x:v>399</x:v>
      </x:c>
      <x:c r="E426" s="16" t="n">
        <x:v>0.3</x:v>
      </x:c>
      <x:c r="F426" s="15" t="n">
        <x:f>INDEX('Inputs'!$D$4:$D$6,MATCH(A426,'Inputs'!$A$4:$A$6,0))</x:f>
        <x:v>125</x:v>
      </x:c>
      <x:c r="G426" s="15" t="n">
        <x:f>INDEX('Inputs'!$E$4:$E$6,MATCH(A426,'Inputs'!$A$4:$A$6,0))</x:f>
        <x:v>85</x:v>
      </x:c>
      <x:c r="H426" s="15" t="n">
        <x:f>D426*(1-E426)</x:f>
        <x:v>279.29999999999995</x:v>
      </x:c>
      <x:c r="I426" s="15" t="n">
        <x:f>F426+G426</x:f>
        <x:v>210</x:v>
      </x:c>
      <x:c r="J426" s="15" t="n">
        <x:f>H426-I426</x:f>
        <x:v>69.29999999999995</x:v>
      </x:c>
      <x:c r="K426" s="16" t="n">
        <x:f>IFERROR(J426/H426,0)</x:f>
        <x:v>0.24812030075187957</x:v>
      </x:c>
      <x:c r="L426" s="14" t="str">
        <x:f>IF(J426&gt;0,"Provisional positive contribution","Not viable")</x:f>
        <x:v>Provisional positive contribution</x:v>
      </x:c>
    </x:row>
    <x:row r="427">
      <x:c r="A427" s="14" t="str">
        <x:v>240gsm Oversized</x:v>
      </x:c>
      <x:c r="B427" s="14" t="n">
        <x:v>50</x:v>
      </x:c>
      <x:c r="C427" s="15" t="n">
        <x:v>699</x:v>
      </x:c>
      <x:c r="D427" s="15" t="n">
        <x:v>399</x:v>
      </x:c>
      <x:c r="E427" s="16" t="n">
        <x:v>0.35</x:v>
      </x:c>
      <x:c r="F427" s="15" t="n">
        <x:f>INDEX('Inputs'!$D$4:$D$6,MATCH(A427,'Inputs'!$A$4:$A$6,0))</x:f>
        <x:v>125</x:v>
      </x:c>
      <x:c r="G427" s="15" t="n">
        <x:f>INDEX('Inputs'!$E$4:$E$6,MATCH(A427,'Inputs'!$A$4:$A$6,0))</x:f>
        <x:v>85</x:v>
      </x:c>
      <x:c r="H427" s="15" t="n">
        <x:f>D427*(1-E427)</x:f>
        <x:v>259.35</x:v>
      </x:c>
      <x:c r="I427" s="15" t="n">
        <x:f>F427+G427</x:f>
        <x:v>210</x:v>
      </x:c>
      <x:c r="J427" s="15" t="n">
        <x:f>H427-I427</x:f>
        <x:v>49.35000000000002</x:v>
      </x:c>
      <x:c r="K427" s="16" t="n">
        <x:f>IFERROR(J427/H427,0)</x:f>
        <x:v>0.19028340080971667</x:v>
      </x:c>
      <x:c r="L427" s="14" t="str">
        <x:f>IF(J427&gt;0,"Provisional positive contribution","Not viable")</x:f>
        <x:v>Provisional positive contribution</x:v>
      </x:c>
    </x:row>
    <x:row r="428">
      <x:c r="A428" s="14" t="str">
        <x:v>240gsm Oversized</x:v>
      </x:c>
      <x:c r="B428" s="14" t="n">
        <x:v>50</x:v>
      </x:c>
      <x:c r="C428" s="15" t="n">
        <x:v>699</x:v>
      </x:c>
      <x:c r="D428" s="15" t="n">
        <x:v>449</x:v>
      </x:c>
      <x:c r="E428" s="16" t="n">
        <x:v>0.2</x:v>
      </x:c>
      <x:c r="F428" s="15" t="n">
        <x:f>INDEX('Inputs'!$D$4:$D$6,MATCH(A428,'Inputs'!$A$4:$A$6,0))</x:f>
        <x:v>125</x:v>
      </x:c>
      <x:c r="G428" s="15" t="n">
        <x:f>INDEX('Inputs'!$E$4:$E$6,MATCH(A428,'Inputs'!$A$4:$A$6,0))</x:f>
        <x:v>85</x:v>
      </x:c>
      <x:c r="H428" s="15" t="n">
        <x:f>D428*(1-E428)</x:f>
        <x:v>359.20000000000005</x:v>
      </x:c>
      <x:c r="I428" s="15" t="n">
        <x:f>F428+G428</x:f>
        <x:v>210</x:v>
      </x:c>
      <x:c r="J428" s="15" t="n">
        <x:f>H428-I428</x:f>
        <x:v>149.20000000000005</x:v>
      </x:c>
      <x:c r="K428" s="16" t="n">
        <x:f>IFERROR(J428/H428,0)</x:f>
        <x:v>0.41536748329621387</x:v>
      </x:c>
      <x:c r="L428" s="14" t="str">
        <x:f>IF(J428&gt;0,"Provisional positive contribution","Not viable")</x:f>
        <x:v>Provisional positive contribution</x:v>
      </x:c>
    </x:row>
    <x:row r="429">
      <x:c r="A429" s="14" t="str">
        <x:v>240gsm Oversized</x:v>
      </x:c>
      <x:c r="B429" s="14" t="n">
        <x:v>50</x:v>
      </x:c>
      <x:c r="C429" s="15" t="n">
        <x:v>699</x:v>
      </x:c>
      <x:c r="D429" s="15" t="n">
        <x:v>449</x:v>
      </x:c>
      <x:c r="E429" s="16" t="n">
        <x:v>0.25</x:v>
      </x:c>
      <x:c r="F429" s="15" t="n">
        <x:f>INDEX('Inputs'!$D$4:$D$6,MATCH(A429,'Inputs'!$A$4:$A$6,0))</x:f>
        <x:v>125</x:v>
      </x:c>
      <x:c r="G429" s="15" t="n">
        <x:f>INDEX('Inputs'!$E$4:$E$6,MATCH(A429,'Inputs'!$A$4:$A$6,0))</x:f>
        <x:v>85</x:v>
      </x:c>
      <x:c r="H429" s="15" t="n">
        <x:f>D429*(1-E429)</x:f>
        <x:v>336.75</x:v>
      </x:c>
      <x:c r="I429" s="15" t="n">
        <x:f>F429+G429</x:f>
        <x:v>210</x:v>
      </x:c>
      <x:c r="J429" s="15" t="n">
        <x:f>H429-I429</x:f>
        <x:v>126.75</x:v>
      </x:c>
      <x:c r="K429" s="16" t="n">
        <x:f>IFERROR(J429/H429,0)</x:f>
        <x:v>0.37639198218262804</x:v>
      </x:c>
      <x:c r="L429" s="14" t="str">
        <x:f>IF(J429&gt;0,"Provisional positive contribution","Not viable")</x:f>
        <x:v>Provisional positive contribution</x:v>
      </x:c>
    </x:row>
    <x:row r="430">
      <x:c r="A430" s="14" t="str">
        <x:v>240gsm Oversized</x:v>
      </x:c>
      <x:c r="B430" s="14" t="n">
        <x:v>50</x:v>
      </x:c>
      <x:c r="C430" s="15" t="n">
        <x:v>699</x:v>
      </x:c>
      <x:c r="D430" s="15" t="n">
        <x:v>449</x:v>
      </x:c>
      <x:c r="E430" s="16" t="n">
        <x:v>0.3</x:v>
      </x:c>
      <x:c r="F430" s="15" t="n">
        <x:f>INDEX('Inputs'!$D$4:$D$6,MATCH(A430,'Inputs'!$A$4:$A$6,0))</x:f>
        <x:v>125</x:v>
      </x:c>
      <x:c r="G430" s="15" t="n">
        <x:f>INDEX('Inputs'!$E$4:$E$6,MATCH(A430,'Inputs'!$A$4:$A$6,0))</x:f>
        <x:v>85</x:v>
      </x:c>
      <x:c r="H430" s="15" t="n">
        <x:f>D430*(1-E430)</x:f>
        <x:v>314.29999999999995</x:v>
      </x:c>
      <x:c r="I430" s="15" t="n">
        <x:f>F430+G430</x:f>
        <x:v>210</x:v>
      </x:c>
      <x:c r="J430" s="15" t="n">
        <x:f>H430-I430</x:f>
        <x:v>104.29999999999995</x:v>
      </x:c>
      <x:c r="K430" s="16" t="n">
        <x:f>IFERROR(J430/H430,0)</x:f>
        <x:v>0.33184855233852995</x:v>
      </x:c>
      <x:c r="L430" s="14" t="str">
        <x:f>IF(J430&gt;0,"Provisional positive contribution","Not viable")</x:f>
        <x:v>Provisional positive contribution</x:v>
      </x:c>
    </x:row>
    <x:row r="431">
      <x:c r="A431" s="14" t="str">
        <x:v>240gsm Oversized</x:v>
      </x:c>
      <x:c r="B431" s="14" t="n">
        <x:v>50</x:v>
      </x:c>
      <x:c r="C431" s="15" t="n">
        <x:v>699</x:v>
      </x:c>
      <x:c r="D431" s="15" t="n">
        <x:v>449</x:v>
      </x:c>
      <x:c r="E431" s="16" t="n">
        <x:v>0.35</x:v>
      </x:c>
      <x:c r="F431" s="15" t="n">
        <x:f>INDEX('Inputs'!$D$4:$D$6,MATCH(A431,'Inputs'!$A$4:$A$6,0))</x:f>
        <x:v>125</x:v>
      </x:c>
      <x:c r="G431" s="15" t="n">
        <x:f>INDEX('Inputs'!$E$4:$E$6,MATCH(A431,'Inputs'!$A$4:$A$6,0))</x:f>
        <x:v>85</x:v>
      </x:c>
      <x:c r="H431" s="15" t="n">
        <x:f>D431*(1-E431)</x:f>
        <x:v>291.85</x:v>
      </x:c>
      <x:c r="I431" s="15" t="n">
        <x:f>F431+G431</x:f>
        <x:v>210</x:v>
      </x:c>
      <x:c r="J431" s="15" t="n">
        <x:f>H431-I431</x:f>
        <x:v>81.85000000000002</x:v>
      </x:c>
      <x:c r="K431" s="16" t="n">
        <x:f>IFERROR(J431/H431,0)</x:f>
        <x:v>0.28045228713380166</x:v>
      </x:c>
      <x:c r="L431" s="14" t="str">
        <x:f>IF(J431&gt;0,"Provisional positive contribution","Not viable")</x:f>
        <x:v>Provisional positive contribution</x:v>
      </x:c>
    </x:row>
    <x:row r="432">
      <x:c r="A432" s="14" t="str">
        <x:v>240gsm Oversized</x:v>
      </x:c>
      <x:c r="B432" s="14" t="n">
        <x:v>50</x:v>
      </x:c>
      <x:c r="C432" s="15" t="n">
        <x:v>699</x:v>
      </x:c>
      <x:c r="D432" s="15" t="n">
        <x:v>499</x:v>
      </x:c>
      <x:c r="E432" s="16" t="n">
        <x:v>0.2</x:v>
      </x:c>
      <x:c r="F432" s="15" t="n">
        <x:f>INDEX('Inputs'!$D$4:$D$6,MATCH(A432,'Inputs'!$A$4:$A$6,0))</x:f>
        <x:v>125</x:v>
      </x:c>
      <x:c r="G432" s="15" t="n">
        <x:f>INDEX('Inputs'!$E$4:$E$6,MATCH(A432,'Inputs'!$A$4:$A$6,0))</x:f>
        <x:v>85</x:v>
      </x:c>
      <x:c r="H432" s="15" t="n">
        <x:f>D432*(1-E432)</x:f>
        <x:v>399.20000000000005</x:v>
      </x:c>
      <x:c r="I432" s="15" t="n">
        <x:f>F432+G432</x:f>
        <x:v>210</x:v>
      </x:c>
      <x:c r="J432" s="15" t="n">
        <x:f>H432-I432</x:f>
        <x:v>189.20000000000005</x:v>
      </x:c>
      <x:c r="K432" s="16" t="n">
        <x:f>IFERROR(J432/H432,0)</x:f>
        <x:v>0.47394789579158325</x:v>
      </x:c>
      <x:c r="L432" s="14" t="str">
        <x:f>IF(J432&gt;0,"Provisional positive contribution","Not viable")</x:f>
        <x:v>Provisional positive contribution</x:v>
      </x:c>
    </x:row>
    <x:row r="433">
      <x:c r="A433" s="14" t="str">
        <x:v>240gsm Oversized</x:v>
      </x:c>
      <x:c r="B433" s="14" t="n">
        <x:v>50</x:v>
      </x:c>
      <x:c r="C433" s="15" t="n">
        <x:v>699</x:v>
      </x:c>
      <x:c r="D433" s="15" t="n">
        <x:v>499</x:v>
      </x:c>
      <x:c r="E433" s="16" t="n">
        <x:v>0.25</x:v>
      </x:c>
      <x:c r="F433" s="15" t="n">
        <x:f>INDEX('Inputs'!$D$4:$D$6,MATCH(A433,'Inputs'!$A$4:$A$6,0))</x:f>
        <x:v>125</x:v>
      </x:c>
      <x:c r="G433" s="15" t="n">
        <x:f>INDEX('Inputs'!$E$4:$E$6,MATCH(A433,'Inputs'!$A$4:$A$6,0))</x:f>
        <x:v>85</x:v>
      </x:c>
      <x:c r="H433" s="15" t="n">
        <x:f>D433*(1-E433)</x:f>
        <x:v>374.25</x:v>
      </x:c>
      <x:c r="I433" s="15" t="n">
        <x:f>F433+G433</x:f>
        <x:v>210</x:v>
      </x:c>
      <x:c r="J433" s="15" t="n">
        <x:f>H433-I433</x:f>
        <x:v>164.25</x:v>
      </x:c>
      <x:c r="K433" s="16" t="n">
        <x:f>IFERROR(J433/H433,0)</x:f>
        <x:v>0.43887775551102204</x:v>
      </x:c>
      <x:c r="L433" s="14" t="str">
        <x:f>IF(J433&gt;0,"Provisional positive contribution","Not viable")</x:f>
        <x:v>Provisional positive contribution</x:v>
      </x:c>
    </x:row>
    <x:row r="434">
      <x:c r="A434" s="14" t="str">
        <x:v>240gsm Oversized</x:v>
      </x:c>
      <x:c r="B434" s="14" t="n">
        <x:v>50</x:v>
      </x:c>
      <x:c r="C434" s="15" t="n">
        <x:v>699</x:v>
      </x:c>
      <x:c r="D434" s="15" t="n">
        <x:v>499</x:v>
      </x:c>
      <x:c r="E434" s="16" t="n">
        <x:v>0.3</x:v>
      </x:c>
      <x:c r="F434" s="15" t="n">
        <x:f>INDEX('Inputs'!$D$4:$D$6,MATCH(A434,'Inputs'!$A$4:$A$6,0))</x:f>
        <x:v>125</x:v>
      </x:c>
      <x:c r="G434" s="15" t="n">
        <x:f>INDEX('Inputs'!$E$4:$E$6,MATCH(A434,'Inputs'!$A$4:$A$6,0))</x:f>
        <x:v>85</x:v>
      </x:c>
      <x:c r="H434" s="15" t="n">
        <x:f>D434*(1-E434)</x:f>
        <x:v>349.29999999999995</x:v>
      </x:c>
      <x:c r="I434" s="15" t="n">
        <x:f>F434+G434</x:f>
        <x:v>210</x:v>
      </x:c>
      <x:c r="J434" s="15" t="n">
        <x:f>H434-I434</x:f>
        <x:v>139.29999999999995</x:v>
      </x:c>
      <x:c r="K434" s="16" t="n">
        <x:f>IFERROR(J434/H434,0)</x:f>
        <x:v>0.39879759519038066</x:v>
      </x:c>
      <x:c r="L434" s="14" t="str">
        <x:f>IF(J434&gt;0,"Provisional positive contribution","Not viable")</x:f>
        <x:v>Provisional positive contribution</x:v>
      </x:c>
    </x:row>
    <x:row r="435">
      <x:c r="A435" s="14" t="str">
        <x:v>240gsm Oversized</x:v>
      </x:c>
      <x:c r="B435" s="14" t="n">
        <x:v>50</x:v>
      </x:c>
      <x:c r="C435" s="15" t="n">
        <x:v>699</x:v>
      </x:c>
      <x:c r="D435" s="15" t="n">
        <x:v>499</x:v>
      </x:c>
      <x:c r="E435" s="16" t="n">
        <x:v>0.35</x:v>
      </x:c>
      <x:c r="F435" s="15" t="n">
        <x:f>INDEX('Inputs'!$D$4:$D$6,MATCH(A435,'Inputs'!$A$4:$A$6,0))</x:f>
        <x:v>125</x:v>
      </x:c>
      <x:c r="G435" s="15" t="n">
        <x:f>INDEX('Inputs'!$E$4:$E$6,MATCH(A435,'Inputs'!$A$4:$A$6,0))</x:f>
        <x:v>85</x:v>
      </x:c>
      <x:c r="H435" s="15" t="n">
        <x:f>D435*(1-E435)</x:f>
        <x:v>324.35</x:v>
      </x:c>
      <x:c r="I435" s="15" t="n">
        <x:f>F435+G435</x:f>
        <x:v>210</x:v>
      </x:c>
      <x:c r="J435" s="15" t="n">
        <x:f>H435-I435</x:f>
        <x:v>114.35000000000002</x:v>
      </x:c>
      <x:c r="K435" s="16" t="n">
        <x:f>IFERROR(J435/H435,0)</x:f>
        <x:v>0.35255125635887163</x:v>
      </x:c>
      <x:c r="L435" s="14" t="str">
        <x:f>IF(J435&gt;0,"Provisional positive contribution","Not viable")</x:f>
        <x:v>Provisional positive contribution</x:v>
      </x:c>
    </x:row>
    <x:row r="436">
      <x:c r="A436" s="14" t="str">
        <x:v>240gsm Oversized</x:v>
      </x:c>
      <x:c r="B436" s="14" t="n">
        <x:v>50</x:v>
      </x:c>
      <x:c r="C436" s="15" t="n">
        <x:v>749</x:v>
      </x:c>
      <x:c r="D436" s="15" t="n">
        <x:v>349</x:v>
      </x:c>
      <x:c r="E436" s="16" t="n">
        <x:v>0.2</x:v>
      </x:c>
      <x:c r="F436" s="15" t="n">
        <x:f>INDEX('Inputs'!$D$4:$D$6,MATCH(A436,'Inputs'!$A$4:$A$6,0))</x:f>
        <x:v>125</x:v>
      </x:c>
      <x:c r="G436" s="15" t="n">
        <x:f>INDEX('Inputs'!$E$4:$E$6,MATCH(A436,'Inputs'!$A$4:$A$6,0))</x:f>
        <x:v>85</x:v>
      </x:c>
      <x:c r="H436" s="15" t="n">
        <x:f>D436*(1-E436)</x:f>
        <x:v>279.2</x:v>
      </x:c>
      <x:c r="I436" s="15" t="n">
        <x:f>F436+G436</x:f>
        <x:v>210</x:v>
      </x:c>
      <x:c r="J436" s="15" t="n">
        <x:f>H436-I436</x:f>
        <x:v>69.19999999999999</x:v>
      </x:c>
      <x:c r="K436" s="16" t="n">
        <x:f>IFERROR(J436/H436,0)</x:f>
        <x:v>0.2478510028653295</x:v>
      </x:c>
      <x:c r="L436" s="14" t="str">
        <x:f>IF(J436&gt;0,"Provisional positive contribution","Not viable")</x:f>
        <x:v>Provisional positive contribution</x:v>
      </x:c>
    </x:row>
    <x:row r="437">
      <x:c r="A437" s="14" t="str">
        <x:v>240gsm Oversized</x:v>
      </x:c>
      <x:c r="B437" s="14" t="n">
        <x:v>50</x:v>
      </x:c>
      <x:c r="C437" s="15" t="n">
        <x:v>749</x:v>
      </x:c>
      <x:c r="D437" s="15" t="n">
        <x:v>349</x:v>
      </x:c>
      <x:c r="E437" s="16" t="n">
        <x:v>0.25</x:v>
      </x:c>
      <x:c r="F437" s="15" t="n">
        <x:f>INDEX('Inputs'!$D$4:$D$6,MATCH(A437,'Inputs'!$A$4:$A$6,0))</x:f>
        <x:v>125</x:v>
      </x:c>
      <x:c r="G437" s="15" t="n">
        <x:f>INDEX('Inputs'!$E$4:$E$6,MATCH(A437,'Inputs'!$A$4:$A$6,0))</x:f>
        <x:v>85</x:v>
      </x:c>
      <x:c r="H437" s="15" t="n">
        <x:f>D437*(1-E437)</x:f>
        <x:v>261.75</x:v>
      </x:c>
      <x:c r="I437" s="15" t="n">
        <x:f>F437+G437</x:f>
        <x:v>210</x:v>
      </x:c>
      <x:c r="J437" s="15" t="n">
        <x:f>H437-I437</x:f>
        <x:v>51.75</x:v>
      </x:c>
      <x:c r="K437" s="16" t="n">
        <x:f>IFERROR(J437/H437,0)</x:f>
        <x:v>0.1977077363896848</x:v>
      </x:c>
      <x:c r="L437" s="14" t="str">
        <x:f>IF(J437&gt;0,"Provisional positive contribution","Not viable")</x:f>
        <x:v>Provisional positive contribution</x:v>
      </x:c>
    </x:row>
    <x:row r="438">
      <x:c r="A438" s="14" t="str">
        <x:v>240gsm Oversized</x:v>
      </x:c>
      <x:c r="B438" s="14" t="n">
        <x:v>50</x:v>
      </x:c>
      <x:c r="C438" s="15" t="n">
        <x:v>749</x:v>
      </x:c>
      <x:c r="D438" s="15" t="n">
        <x:v>349</x:v>
      </x:c>
      <x:c r="E438" s="16" t="n">
        <x:v>0.3</x:v>
      </x:c>
      <x:c r="F438" s="15" t="n">
        <x:f>INDEX('Inputs'!$D$4:$D$6,MATCH(A438,'Inputs'!$A$4:$A$6,0))</x:f>
        <x:v>125</x:v>
      </x:c>
      <x:c r="G438" s="15" t="n">
        <x:f>INDEX('Inputs'!$E$4:$E$6,MATCH(A438,'Inputs'!$A$4:$A$6,0))</x:f>
        <x:v>85</x:v>
      </x:c>
      <x:c r="H438" s="15" t="n">
        <x:f>D438*(1-E438)</x:f>
        <x:v>244.29999999999998</x:v>
      </x:c>
      <x:c r="I438" s="15" t="n">
        <x:f>F438+G438</x:f>
        <x:v>210</x:v>
      </x:c>
      <x:c r="J438" s="15" t="n">
        <x:f>H438-I438</x:f>
        <x:v>34.29999999999998</x:v>
      </x:c>
      <x:c r="K438" s="16" t="n">
        <x:f>IFERROR(J438/H438,0)</x:f>
        <x:v>0.1404011461318051</x:v>
      </x:c>
      <x:c r="L438" s="14" t="str">
        <x:f>IF(J438&gt;0,"Provisional positive contribution","Not viable")</x:f>
        <x:v>Provisional positive contribution</x:v>
      </x:c>
    </x:row>
    <x:row r="439">
      <x:c r="A439" s="14" t="str">
        <x:v>240gsm Oversized</x:v>
      </x:c>
      <x:c r="B439" s="14" t="n">
        <x:v>50</x:v>
      </x:c>
      <x:c r="C439" s="15" t="n">
        <x:v>749</x:v>
      </x:c>
      <x:c r="D439" s="15" t="n">
        <x:v>349</x:v>
      </x:c>
      <x:c r="E439" s="16" t="n">
        <x:v>0.35</x:v>
      </x:c>
      <x:c r="F439" s="15" t="n">
        <x:f>INDEX('Inputs'!$D$4:$D$6,MATCH(A439,'Inputs'!$A$4:$A$6,0))</x:f>
        <x:v>125</x:v>
      </x:c>
      <x:c r="G439" s="15" t="n">
        <x:f>INDEX('Inputs'!$E$4:$E$6,MATCH(A439,'Inputs'!$A$4:$A$6,0))</x:f>
        <x:v>85</x:v>
      </x:c>
      <x:c r="H439" s="15" t="n">
        <x:f>D439*(1-E439)</x:f>
        <x:v>226.85</x:v>
      </x:c>
      <x:c r="I439" s="15" t="n">
        <x:f>F439+G439</x:f>
        <x:v>210</x:v>
      </x:c>
      <x:c r="J439" s="15" t="n">
        <x:f>H439-I439</x:f>
        <x:v>16.849999999999994</x:v>
      </x:c>
      <x:c r="K439" s="16" t="n">
        <x:f>IFERROR(J439/H439,0)</x:f>
        <x:v>0.07427815737271322</x:v>
      </x:c>
      <x:c r="L439" s="14" t="str">
        <x:f>IF(J439&gt;0,"Provisional positive contribution","Not viable")</x:f>
        <x:v>Provisional positive contribution</x:v>
      </x:c>
    </x:row>
    <x:row r="440">
      <x:c r="A440" s="14" t="str">
        <x:v>240gsm Oversized</x:v>
      </x:c>
      <x:c r="B440" s="14" t="n">
        <x:v>50</x:v>
      </x:c>
      <x:c r="C440" s="15" t="n">
        <x:v>749</x:v>
      </x:c>
      <x:c r="D440" s="15" t="n">
        <x:v>399</x:v>
      </x:c>
      <x:c r="E440" s="16" t="n">
        <x:v>0.2</x:v>
      </x:c>
      <x:c r="F440" s="15" t="n">
        <x:f>INDEX('Inputs'!$D$4:$D$6,MATCH(A440,'Inputs'!$A$4:$A$6,0))</x:f>
        <x:v>125</x:v>
      </x:c>
      <x:c r="G440" s="15" t="n">
        <x:f>INDEX('Inputs'!$E$4:$E$6,MATCH(A440,'Inputs'!$A$4:$A$6,0))</x:f>
        <x:v>85</x:v>
      </x:c>
      <x:c r="H440" s="15" t="n">
        <x:f>D440*(1-E440)</x:f>
        <x:v>319.20000000000005</x:v>
      </x:c>
      <x:c r="I440" s="15" t="n">
        <x:f>F440+G440</x:f>
        <x:v>210</x:v>
      </x:c>
      <x:c r="J440" s="15" t="n">
        <x:f>H440-I440</x:f>
        <x:v>109.20000000000005</x:v>
      </x:c>
      <x:c r="K440" s="16" t="n">
        <x:f>IFERROR(J440/H440,0)</x:f>
        <x:v>0.34210526315789486</x:v>
      </x:c>
      <x:c r="L440" s="14" t="str">
        <x:f>IF(J440&gt;0,"Provisional positive contribution","Not viable")</x:f>
        <x:v>Provisional positive contribution</x:v>
      </x:c>
    </x:row>
    <x:row r="441">
      <x:c r="A441" s="14" t="str">
        <x:v>240gsm Oversized</x:v>
      </x:c>
      <x:c r="B441" s="14" t="n">
        <x:v>50</x:v>
      </x:c>
      <x:c r="C441" s="15" t="n">
        <x:v>749</x:v>
      </x:c>
      <x:c r="D441" s="15" t="n">
        <x:v>399</x:v>
      </x:c>
      <x:c r="E441" s="16" t="n">
        <x:v>0.25</x:v>
      </x:c>
      <x:c r="F441" s="15" t="n">
        <x:f>INDEX('Inputs'!$D$4:$D$6,MATCH(A441,'Inputs'!$A$4:$A$6,0))</x:f>
        <x:v>125</x:v>
      </x:c>
      <x:c r="G441" s="15" t="n">
        <x:f>INDEX('Inputs'!$E$4:$E$6,MATCH(A441,'Inputs'!$A$4:$A$6,0))</x:f>
        <x:v>85</x:v>
      </x:c>
      <x:c r="H441" s="15" t="n">
        <x:f>D441*(1-E441)</x:f>
        <x:v>299.25</x:v>
      </x:c>
      <x:c r="I441" s="15" t="n">
        <x:f>F441+G441</x:f>
        <x:v>210</x:v>
      </x:c>
      <x:c r="J441" s="15" t="n">
        <x:f>H441-I441</x:f>
        <x:v>89.25</x:v>
      </x:c>
      <x:c r="K441" s="16" t="n">
        <x:f>IFERROR(J441/H441,0)</x:f>
        <x:v>0.2982456140350877</x:v>
      </x:c>
      <x:c r="L441" s="14" t="str">
        <x:f>IF(J441&gt;0,"Provisional positive contribution","Not viable")</x:f>
        <x:v>Provisional positive contribution</x:v>
      </x:c>
    </x:row>
    <x:row r="442">
      <x:c r="A442" s="14" t="str">
        <x:v>240gsm Oversized</x:v>
      </x:c>
      <x:c r="B442" s="14" t="n">
        <x:v>50</x:v>
      </x:c>
      <x:c r="C442" s="15" t="n">
        <x:v>749</x:v>
      </x:c>
      <x:c r="D442" s="15" t="n">
        <x:v>399</x:v>
      </x:c>
      <x:c r="E442" s="16" t="n">
        <x:v>0.3</x:v>
      </x:c>
      <x:c r="F442" s="15" t="n">
        <x:f>INDEX('Inputs'!$D$4:$D$6,MATCH(A442,'Inputs'!$A$4:$A$6,0))</x:f>
        <x:v>125</x:v>
      </x:c>
      <x:c r="G442" s="15" t="n">
        <x:f>INDEX('Inputs'!$E$4:$E$6,MATCH(A442,'Inputs'!$A$4:$A$6,0))</x:f>
        <x:v>85</x:v>
      </x:c>
      <x:c r="H442" s="15" t="n">
        <x:f>D442*(1-E442)</x:f>
        <x:v>279.29999999999995</x:v>
      </x:c>
      <x:c r="I442" s="15" t="n">
        <x:f>F442+G442</x:f>
        <x:v>210</x:v>
      </x:c>
      <x:c r="J442" s="15" t="n">
        <x:f>H442-I442</x:f>
        <x:v>69.29999999999995</x:v>
      </x:c>
      <x:c r="K442" s="16" t="n">
        <x:f>IFERROR(J442/H442,0)</x:f>
        <x:v>0.24812030075187957</x:v>
      </x:c>
      <x:c r="L442" s="14" t="str">
        <x:f>IF(J442&gt;0,"Provisional positive contribution","Not viable")</x:f>
        <x:v>Provisional positive contribution</x:v>
      </x:c>
    </x:row>
    <x:row r="443">
      <x:c r="A443" s="14" t="str">
        <x:v>240gsm Oversized</x:v>
      </x:c>
      <x:c r="B443" s="14" t="n">
        <x:v>50</x:v>
      </x:c>
      <x:c r="C443" s="15" t="n">
        <x:v>749</x:v>
      </x:c>
      <x:c r="D443" s="15" t="n">
        <x:v>399</x:v>
      </x:c>
      <x:c r="E443" s="16" t="n">
        <x:v>0.35</x:v>
      </x:c>
      <x:c r="F443" s="15" t="n">
        <x:f>INDEX('Inputs'!$D$4:$D$6,MATCH(A443,'Inputs'!$A$4:$A$6,0))</x:f>
        <x:v>125</x:v>
      </x:c>
      <x:c r="G443" s="15" t="n">
        <x:f>INDEX('Inputs'!$E$4:$E$6,MATCH(A443,'Inputs'!$A$4:$A$6,0))</x:f>
        <x:v>85</x:v>
      </x:c>
      <x:c r="H443" s="15" t="n">
        <x:f>D443*(1-E443)</x:f>
        <x:v>259.35</x:v>
      </x:c>
      <x:c r="I443" s="15" t="n">
        <x:f>F443+G443</x:f>
        <x:v>210</x:v>
      </x:c>
      <x:c r="J443" s="15" t="n">
        <x:f>H443-I443</x:f>
        <x:v>49.35000000000002</x:v>
      </x:c>
      <x:c r="K443" s="16" t="n">
        <x:f>IFERROR(J443/H443,0)</x:f>
        <x:v>0.19028340080971667</x:v>
      </x:c>
      <x:c r="L443" s="14" t="str">
        <x:f>IF(J443&gt;0,"Provisional positive contribution","Not viable")</x:f>
        <x:v>Provisional positive contribution</x:v>
      </x:c>
    </x:row>
    <x:row r="444">
      <x:c r="A444" s="14" t="str">
        <x:v>240gsm Oversized</x:v>
      </x:c>
      <x:c r="B444" s="14" t="n">
        <x:v>50</x:v>
      </x:c>
      <x:c r="C444" s="15" t="n">
        <x:v>749</x:v>
      </x:c>
      <x:c r="D444" s="15" t="n">
        <x:v>449</x:v>
      </x:c>
      <x:c r="E444" s="16" t="n">
        <x:v>0.2</x:v>
      </x:c>
      <x:c r="F444" s="15" t="n">
        <x:f>INDEX('Inputs'!$D$4:$D$6,MATCH(A444,'Inputs'!$A$4:$A$6,0))</x:f>
        <x:v>125</x:v>
      </x:c>
      <x:c r="G444" s="15" t="n">
        <x:f>INDEX('Inputs'!$E$4:$E$6,MATCH(A444,'Inputs'!$A$4:$A$6,0))</x:f>
        <x:v>85</x:v>
      </x:c>
      <x:c r="H444" s="15" t="n">
        <x:f>D444*(1-E444)</x:f>
        <x:v>359.20000000000005</x:v>
      </x:c>
      <x:c r="I444" s="15" t="n">
        <x:f>F444+G444</x:f>
        <x:v>210</x:v>
      </x:c>
      <x:c r="J444" s="15" t="n">
        <x:f>H444-I444</x:f>
        <x:v>149.20000000000005</x:v>
      </x:c>
      <x:c r="K444" s="16" t="n">
        <x:f>IFERROR(J444/H444,0)</x:f>
        <x:v>0.41536748329621387</x:v>
      </x:c>
      <x:c r="L444" s="14" t="str">
        <x:f>IF(J444&gt;0,"Provisional positive contribution","Not viable")</x:f>
        <x:v>Provisional positive contribution</x:v>
      </x:c>
    </x:row>
    <x:row r="445">
      <x:c r="A445" s="14" t="str">
        <x:v>240gsm Oversized</x:v>
      </x:c>
      <x:c r="B445" s="14" t="n">
        <x:v>50</x:v>
      </x:c>
      <x:c r="C445" s="15" t="n">
        <x:v>749</x:v>
      </x:c>
      <x:c r="D445" s="15" t="n">
        <x:v>449</x:v>
      </x:c>
      <x:c r="E445" s="16" t="n">
        <x:v>0.25</x:v>
      </x:c>
      <x:c r="F445" s="15" t="n">
        <x:f>INDEX('Inputs'!$D$4:$D$6,MATCH(A445,'Inputs'!$A$4:$A$6,0))</x:f>
        <x:v>125</x:v>
      </x:c>
      <x:c r="G445" s="15" t="n">
        <x:f>INDEX('Inputs'!$E$4:$E$6,MATCH(A445,'Inputs'!$A$4:$A$6,0))</x:f>
        <x:v>85</x:v>
      </x:c>
      <x:c r="H445" s="15" t="n">
        <x:f>D445*(1-E445)</x:f>
        <x:v>336.75</x:v>
      </x:c>
      <x:c r="I445" s="15" t="n">
        <x:f>F445+G445</x:f>
        <x:v>210</x:v>
      </x:c>
      <x:c r="J445" s="15" t="n">
        <x:f>H445-I445</x:f>
        <x:v>126.75</x:v>
      </x:c>
      <x:c r="K445" s="16" t="n">
        <x:f>IFERROR(J445/H445,0)</x:f>
        <x:v>0.37639198218262804</x:v>
      </x:c>
      <x:c r="L445" s="14" t="str">
        <x:f>IF(J445&gt;0,"Provisional positive contribution","Not viable")</x:f>
        <x:v>Provisional positive contribution</x:v>
      </x:c>
    </x:row>
    <x:row r="446">
      <x:c r="A446" s="14" t="str">
        <x:v>240gsm Oversized</x:v>
      </x:c>
      <x:c r="B446" s="14" t="n">
        <x:v>50</x:v>
      </x:c>
      <x:c r="C446" s="15" t="n">
        <x:v>749</x:v>
      </x:c>
      <x:c r="D446" s="15" t="n">
        <x:v>449</x:v>
      </x:c>
      <x:c r="E446" s="16" t="n">
        <x:v>0.3</x:v>
      </x:c>
      <x:c r="F446" s="15" t="n">
        <x:f>INDEX('Inputs'!$D$4:$D$6,MATCH(A446,'Inputs'!$A$4:$A$6,0))</x:f>
        <x:v>125</x:v>
      </x:c>
      <x:c r="G446" s="15" t="n">
        <x:f>INDEX('Inputs'!$E$4:$E$6,MATCH(A446,'Inputs'!$A$4:$A$6,0))</x:f>
        <x:v>85</x:v>
      </x:c>
      <x:c r="H446" s="15" t="n">
        <x:f>D446*(1-E446)</x:f>
        <x:v>314.29999999999995</x:v>
      </x:c>
      <x:c r="I446" s="15" t="n">
        <x:f>F446+G446</x:f>
        <x:v>210</x:v>
      </x:c>
      <x:c r="J446" s="15" t="n">
        <x:f>H446-I446</x:f>
        <x:v>104.29999999999995</x:v>
      </x:c>
      <x:c r="K446" s="16" t="n">
        <x:f>IFERROR(J446/H446,0)</x:f>
        <x:v>0.33184855233852995</x:v>
      </x:c>
      <x:c r="L446" s="14" t="str">
        <x:f>IF(J446&gt;0,"Provisional positive contribution","Not viable")</x:f>
        <x:v>Provisional positive contribution</x:v>
      </x:c>
    </x:row>
    <x:row r="447">
      <x:c r="A447" s="14" t="str">
        <x:v>240gsm Oversized</x:v>
      </x:c>
      <x:c r="B447" s="14" t="n">
        <x:v>50</x:v>
      </x:c>
      <x:c r="C447" s="15" t="n">
        <x:v>749</x:v>
      </x:c>
      <x:c r="D447" s="15" t="n">
        <x:v>449</x:v>
      </x:c>
      <x:c r="E447" s="16" t="n">
        <x:v>0.35</x:v>
      </x:c>
      <x:c r="F447" s="15" t="n">
        <x:f>INDEX('Inputs'!$D$4:$D$6,MATCH(A447,'Inputs'!$A$4:$A$6,0))</x:f>
        <x:v>125</x:v>
      </x:c>
      <x:c r="G447" s="15" t="n">
        <x:f>INDEX('Inputs'!$E$4:$E$6,MATCH(A447,'Inputs'!$A$4:$A$6,0))</x:f>
        <x:v>85</x:v>
      </x:c>
      <x:c r="H447" s="15" t="n">
        <x:f>D447*(1-E447)</x:f>
        <x:v>291.85</x:v>
      </x:c>
      <x:c r="I447" s="15" t="n">
        <x:f>F447+G447</x:f>
        <x:v>210</x:v>
      </x:c>
      <x:c r="J447" s="15" t="n">
        <x:f>H447-I447</x:f>
        <x:v>81.85000000000002</x:v>
      </x:c>
      <x:c r="K447" s="16" t="n">
        <x:f>IFERROR(J447/H447,0)</x:f>
        <x:v>0.28045228713380166</x:v>
      </x:c>
      <x:c r="L447" s="14" t="str">
        <x:f>IF(J447&gt;0,"Provisional positive contribution","Not viable")</x:f>
        <x:v>Provisional positive contribution</x:v>
      </x:c>
    </x:row>
    <x:row r="448">
      <x:c r="A448" s="14" t="str">
        <x:v>240gsm Oversized</x:v>
      </x:c>
      <x:c r="B448" s="14" t="n">
        <x:v>50</x:v>
      </x:c>
      <x:c r="C448" s="15" t="n">
        <x:v>749</x:v>
      </x:c>
      <x:c r="D448" s="15" t="n">
        <x:v>499</x:v>
      </x:c>
      <x:c r="E448" s="16" t="n">
        <x:v>0.2</x:v>
      </x:c>
      <x:c r="F448" s="15" t="n">
        <x:f>INDEX('Inputs'!$D$4:$D$6,MATCH(A448,'Inputs'!$A$4:$A$6,0))</x:f>
        <x:v>125</x:v>
      </x:c>
      <x:c r="G448" s="15" t="n">
        <x:f>INDEX('Inputs'!$E$4:$E$6,MATCH(A448,'Inputs'!$A$4:$A$6,0))</x:f>
        <x:v>85</x:v>
      </x:c>
      <x:c r="H448" s="15" t="n">
        <x:f>D448*(1-E448)</x:f>
        <x:v>399.20000000000005</x:v>
      </x:c>
      <x:c r="I448" s="15" t="n">
        <x:f>F448+G448</x:f>
        <x:v>210</x:v>
      </x:c>
      <x:c r="J448" s="15" t="n">
        <x:f>H448-I448</x:f>
        <x:v>189.20000000000005</x:v>
      </x:c>
      <x:c r="K448" s="16" t="n">
        <x:f>IFERROR(J448/H448,0)</x:f>
        <x:v>0.47394789579158325</x:v>
      </x:c>
      <x:c r="L448" s="14" t="str">
        <x:f>IF(J448&gt;0,"Provisional positive contribution","Not viable")</x:f>
        <x:v>Provisional positive contribution</x:v>
      </x:c>
    </x:row>
    <x:row r="449">
      <x:c r="A449" s="14" t="str">
        <x:v>240gsm Oversized</x:v>
      </x:c>
      <x:c r="B449" s="14" t="n">
        <x:v>50</x:v>
      </x:c>
      <x:c r="C449" s="15" t="n">
        <x:v>749</x:v>
      </x:c>
      <x:c r="D449" s="15" t="n">
        <x:v>499</x:v>
      </x:c>
      <x:c r="E449" s="16" t="n">
        <x:v>0.25</x:v>
      </x:c>
      <x:c r="F449" s="15" t="n">
        <x:f>INDEX('Inputs'!$D$4:$D$6,MATCH(A449,'Inputs'!$A$4:$A$6,0))</x:f>
        <x:v>125</x:v>
      </x:c>
      <x:c r="G449" s="15" t="n">
        <x:f>INDEX('Inputs'!$E$4:$E$6,MATCH(A449,'Inputs'!$A$4:$A$6,0))</x:f>
        <x:v>85</x:v>
      </x:c>
      <x:c r="H449" s="15" t="n">
        <x:f>D449*(1-E449)</x:f>
        <x:v>374.25</x:v>
      </x:c>
      <x:c r="I449" s="15" t="n">
        <x:f>F449+G449</x:f>
        <x:v>210</x:v>
      </x:c>
      <x:c r="J449" s="15" t="n">
        <x:f>H449-I449</x:f>
        <x:v>164.25</x:v>
      </x:c>
      <x:c r="K449" s="16" t="n">
        <x:f>IFERROR(J449/H449,0)</x:f>
        <x:v>0.43887775551102204</x:v>
      </x:c>
      <x:c r="L449" s="14" t="str">
        <x:f>IF(J449&gt;0,"Provisional positive contribution","Not viable")</x:f>
        <x:v>Provisional positive contribution</x:v>
      </x:c>
    </x:row>
    <x:row r="450">
      <x:c r="A450" s="14" t="str">
        <x:v>240gsm Oversized</x:v>
      </x:c>
      <x:c r="B450" s="14" t="n">
        <x:v>50</x:v>
      </x:c>
      <x:c r="C450" s="15" t="n">
        <x:v>749</x:v>
      </x:c>
      <x:c r="D450" s="15" t="n">
        <x:v>499</x:v>
      </x:c>
      <x:c r="E450" s="16" t="n">
        <x:v>0.3</x:v>
      </x:c>
      <x:c r="F450" s="15" t="n">
        <x:f>INDEX('Inputs'!$D$4:$D$6,MATCH(A450,'Inputs'!$A$4:$A$6,0))</x:f>
        <x:v>125</x:v>
      </x:c>
      <x:c r="G450" s="15" t="n">
        <x:f>INDEX('Inputs'!$E$4:$E$6,MATCH(A450,'Inputs'!$A$4:$A$6,0))</x:f>
        <x:v>85</x:v>
      </x:c>
      <x:c r="H450" s="15" t="n">
        <x:f>D450*(1-E450)</x:f>
        <x:v>349.29999999999995</x:v>
      </x:c>
      <x:c r="I450" s="15" t="n">
        <x:f>F450+G450</x:f>
        <x:v>210</x:v>
      </x:c>
      <x:c r="J450" s="15" t="n">
        <x:f>H450-I450</x:f>
        <x:v>139.29999999999995</x:v>
      </x:c>
      <x:c r="K450" s="16" t="n">
        <x:f>IFERROR(J450/H450,0)</x:f>
        <x:v>0.39879759519038066</x:v>
      </x:c>
      <x:c r="L450" s="14" t="str">
        <x:f>IF(J450&gt;0,"Provisional positive contribution","Not viable")</x:f>
        <x:v>Provisional positive contribution</x:v>
      </x:c>
    </x:row>
    <x:row r="451">
      <x:c r="A451" s="14" t="str">
        <x:v>240gsm Oversized</x:v>
      </x:c>
      <x:c r="B451" s="14" t="n">
        <x:v>50</x:v>
      </x:c>
      <x:c r="C451" s="15" t="n">
        <x:v>749</x:v>
      </x:c>
      <x:c r="D451" s="15" t="n">
        <x:v>499</x:v>
      </x:c>
      <x:c r="E451" s="16" t="n">
        <x:v>0.35</x:v>
      </x:c>
      <x:c r="F451" s="15" t="n">
        <x:f>INDEX('Inputs'!$D$4:$D$6,MATCH(A451,'Inputs'!$A$4:$A$6,0))</x:f>
        <x:v>125</x:v>
      </x:c>
      <x:c r="G451" s="15" t="n">
        <x:f>INDEX('Inputs'!$E$4:$E$6,MATCH(A451,'Inputs'!$A$4:$A$6,0))</x:f>
        <x:v>85</x:v>
      </x:c>
      <x:c r="H451" s="15" t="n">
        <x:f>D451*(1-E451)</x:f>
        <x:v>324.35</x:v>
      </x:c>
      <x:c r="I451" s="15" t="n">
        <x:f>F451+G451</x:f>
        <x:v>210</x:v>
      </x:c>
      <x:c r="J451" s="15" t="n">
        <x:f>H451-I451</x:f>
        <x:v>114.35000000000002</x:v>
      </x:c>
      <x:c r="K451" s="16" t="n">
        <x:f>IFERROR(J451/H451,0)</x:f>
        <x:v>0.35255125635887163</x:v>
      </x:c>
      <x:c r="L451" s="14" t="str">
        <x:f>IF(J451&gt;0,"Provisional positive contribution","Not viable")</x:f>
        <x:v>Provisional positive contribution</x:v>
      </x:c>
    </x:row>
    <x:row r="452">
      <x:c r="A452" s="14" t="str">
        <x:v>240gsm Oversized</x:v>
      </x:c>
      <x:c r="B452" s="14" t="n">
        <x:v>100</x:v>
      </x:c>
      <x:c r="C452" s="15" t="n">
        <x:v>599</x:v>
      </x:c>
      <x:c r="D452" s="15" t="n">
        <x:v>349</x:v>
      </x:c>
      <x:c r="E452" s="16" t="n">
        <x:v>0.2</x:v>
      </x:c>
      <x:c r="F452" s="15" t="n">
        <x:f>INDEX('Inputs'!$D$4:$D$6,MATCH(A452,'Inputs'!$A$4:$A$6,0))</x:f>
        <x:v>125</x:v>
      </x:c>
      <x:c r="G452" s="15" t="n">
        <x:f>INDEX('Inputs'!$E$4:$E$6,MATCH(A452,'Inputs'!$A$4:$A$6,0))</x:f>
        <x:v>85</x:v>
      </x:c>
      <x:c r="H452" s="15" t="n">
        <x:f>D452*(1-E452)</x:f>
        <x:v>279.2</x:v>
      </x:c>
      <x:c r="I452" s="15" t="n">
        <x:f>F452+G452</x:f>
        <x:v>210</x:v>
      </x:c>
      <x:c r="J452" s="15" t="n">
        <x:f>H452-I452</x:f>
        <x:v>69.19999999999999</x:v>
      </x:c>
      <x:c r="K452" s="16" t="n">
        <x:f>IFERROR(J452/H452,0)</x:f>
        <x:v>0.2478510028653295</x:v>
      </x:c>
      <x:c r="L452" s="14" t="str">
        <x:f>IF(J452&gt;0,"Provisional positive contribution","Not viable")</x:f>
        <x:v>Provisional positive contribution</x:v>
      </x:c>
    </x:row>
    <x:row r="453">
      <x:c r="A453" s="14" t="str">
        <x:v>240gsm Oversized</x:v>
      </x:c>
      <x:c r="B453" s="14" t="n">
        <x:v>100</x:v>
      </x:c>
      <x:c r="C453" s="15" t="n">
        <x:v>599</x:v>
      </x:c>
      <x:c r="D453" s="15" t="n">
        <x:v>349</x:v>
      </x:c>
      <x:c r="E453" s="16" t="n">
        <x:v>0.25</x:v>
      </x:c>
      <x:c r="F453" s="15" t="n">
        <x:f>INDEX('Inputs'!$D$4:$D$6,MATCH(A453,'Inputs'!$A$4:$A$6,0))</x:f>
        <x:v>125</x:v>
      </x:c>
      <x:c r="G453" s="15" t="n">
        <x:f>INDEX('Inputs'!$E$4:$E$6,MATCH(A453,'Inputs'!$A$4:$A$6,0))</x:f>
        <x:v>85</x:v>
      </x:c>
      <x:c r="H453" s="15" t="n">
        <x:f>D453*(1-E453)</x:f>
        <x:v>261.75</x:v>
      </x:c>
      <x:c r="I453" s="15" t="n">
        <x:f>F453+G453</x:f>
        <x:v>210</x:v>
      </x:c>
      <x:c r="J453" s="15" t="n">
        <x:f>H453-I453</x:f>
        <x:v>51.75</x:v>
      </x:c>
      <x:c r="K453" s="16" t="n">
        <x:f>IFERROR(J453/H453,0)</x:f>
        <x:v>0.1977077363896848</x:v>
      </x:c>
      <x:c r="L453" s="14" t="str">
        <x:f>IF(J453&gt;0,"Provisional positive contribution","Not viable")</x:f>
        <x:v>Provisional positive contribution</x:v>
      </x:c>
    </x:row>
    <x:row r="454">
      <x:c r="A454" s="14" t="str">
        <x:v>240gsm Oversized</x:v>
      </x:c>
      <x:c r="B454" s="14" t="n">
        <x:v>100</x:v>
      </x:c>
      <x:c r="C454" s="15" t="n">
        <x:v>599</x:v>
      </x:c>
      <x:c r="D454" s="15" t="n">
        <x:v>349</x:v>
      </x:c>
      <x:c r="E454" s="16" t="n">
        <x:v>0.3</x:v>
      </x:c>
      <x:c r="F454" s="15" t="n">
        <x:f>INDEX('Inputs'!$D$4:$D$6,MATCH(A454,'Inputs'!$A$4:$A$6,0))</x:f>
        <x:v>125</x:v>
      </x:c>
      <x:c r="G454" s="15" t="n">
        <x:f>INDEX('Inputs'!$E$4:$E$6,MATCH(A454,'Inputs'!$A$4:$A$6,0))</x:f>
        <x:v>85</x:v>
      </x:c>
      <x:c r="H454" s="15" t="n">
        <x:f>D454*(1-E454)</x:f>
        <x:v>244.29999999999998</x:v>
      </x:c>
      <x:c r="I454" s="15" t="n">
        <x:f>F454+G454</x:f>
        <x:v>210</x:v>
      </x:c>
      <x:c r="J454" s="15" t="n">
        <x:f>H454-I454</x:f>
        <x:v>34.29999999999998</x:v>
      </x:c>
      <x:c r="K454" s="16" t="n">
        <x:f>IFERROR(J454/H454,0)</x:f>
        <x:v>0.1404011461318051</x:v>
      </x:c>
      <x:c r="L454" s="14" t="str">
        <x:f>IF(J454&gt;0,"Provisional positive contribution","Not viable")</x:f>
        <x:v>Provisional positive contribution</x:v>
      </x:c>
    </x:row>
    <x:row r="455">
      <x:c r="A455" s="14" t="str">
        <x:v>240gsm Oversized</x:v>
      </x:c>
      <x:c r="B455" s="14" t="n">
        <x:v>100</x:v>
      </x:c>
      <x:c r="C455" s="15" t="n">
        <x:v>599</x:v>
      </x:c>
      <x:c r="D455" s="15" t="n">
        <x:v>349</x:v>
      </x:c>
      <x:c r="E455" s="16" t="n">
        <x:v>0.35</x:v>
      </x:c>
      <x:c r="F455" s="15" t="n">
        <x:f>INDEX('Inputs'!$D$4:$D$6,MATCH(A455,'Inputs'!$A$4:$A$6,0))</x:f>
        <x:v>125</x:v>
      </x:c>
      <x:c r="G455" s="15" t="n">
        <x:f>INDEX('Inputs'!$E$4:$E$6,MATCH(A455,'Inputs'!$A$4:$A$6,0))</x:f>
        <x:v>85</x:v>
      </x:c>
      <x:c r="H455" s="15" t="n">
        <x:f>D455*(1-E455)</x:f>
        <x:v>226.85</x:v>
      </x:c>
      <x:c r="I455" s="15" t="n">
        <x:f>F455+G455</x:f>
        <x:v>210</x:v>
      </x:c>
      <x:c r="J455" s="15" t="n">
        <x:f>H455-I455</x:f>
        <x:v>16.849999999999994</x:v>
      </x:c>
      <x:c r="K455" s="16" t="n">
        <x:f>IFERROR(J455/H455,0)</x:f>
        <x:v>0.07427815737271322</x:v>
      </x:c>
      <x:c r="L455" s="14" t="str">
        <x:f>IF(J455&gt;0,"Provisional positive contribution","Not viable")</x:f>
        <x:v>Provisional positive contribution</x:v>
      </x:c>
    </x:row>
    <x:row r="456">
      <x:c r="A456" s="14" t="str">
        <x:v>240gsm Oversized</x:v>
      </x:c>
      <x:c r="B456" s="14" t="n">
        <x:v>100</x:v>
      </x:c>
      <x:c r="C456" s="15" t="n">
        <x:v>599</x:v>
      </x:c>
      <x:c r="D456" s="15" t="n">
        <x:v>399</x:v>
      </x:c>
      <x:c r="E456" s="16" t="n">
        <x:v>0.2</x:v>
      </x:c>
      <x:c r="F456" s="15" t="n">
        <x:f>INDEX('Inputs'!$D$4:$D$6,MATCH(A456,'Inputs'!$A$4:$A$6,0))</x:f>
        <x:v>125</x:v>
      </x:c>
      <x:c r="G456" s="15" t="n">
        <x:f>INDEX('Inputs'!$E$4:$E$6,MATCH(A456,'Inputs'!$A$4:$A$6,0))</x:f>
        <x:v>85</x:v>
      </x:c>
      <x:c r="H456" s="15" t="n">
        <x:f>D456*(1-E456)</x:f>
        <x:v>319.20000000000005</x:v>
      </x:c>
      <x:c r="I456" s="15" t="n">
        <x:f>F456+G456</x:f>
        <x:v>210</x:v>
      </x:c>
      <x:c r="J456" s="15" t="n">
        <x:f>H456-I456</x:f>
        <x:v>109.20000000000005</x:v>
      </x:c>
      <x:c r="K456" s="16" t="n">
        <x:f>IFERROR(J456/H456,0)</x:f>
        <x:v>0.34210526315789486</x:v>
      </x:c>
      <x:c r="L456" s="14" t="str">
        <x:f>IF(J456&gt;0,"Provisional positive contribution","Not viable")</x:f>
        <x:v>Provisional positive contribution</x:v>
      </x:c>
    </x:row>
    <x:row r="457">
      <x:c r="A457" s="14" t="str">
        <x:v>240gsm Oversized</x:v>
      </x:c>
      <x:c r="B457" s="14" t="n">
        <x:v>100</x:v>
      </x:c>
      <x:c r="C457" s="15" t="n">
        <x:v>599</x:v>
      </x:c>
      <x:c r="D457" s="15" t="n">
        <x:v>399</x:v>
      </x:c>
      <x:c r="E457" s="16" t="n">
        <x:v>0.25</x:v>
      </x:c>
      <x:c r="F457" s="15" t="n">
        <x:f>INDEX('Inputs'!$D$4:$D$6,MATCH(A457,'Inputs'!$A$4:$A$6,0))</x:f>
        <x:v>125</x:v>
      </x:c>
      <x:c r="G457" s="15" t="n">
        <x:f>INDEX('Inputs'!$E$4:$E$6,MATCH(A457,'Inputs'!$A$4:$A$6,0))</x:f>
        <x:v>85</x:v>
      </x:c>
      <x:c r="H457" s="15" t="n">
        <x:f>D457*(1-E457)</x:f>
        <x:v>299.25</x:v>
      </x:c>
      <x:c r="I457" s="15" t="n">
        <x:f>F457+G457</x:f>
        <x:v>210</x:v>
      </x:c>
      <x:c r="J457" s="15" t="n">
        <x:f>H457-I457</x:f>
        <x:v>89.25</x:v>
      </x:c>
      <x:c r="K457" s="16" t="n">
        <x:f>IFERROR(J457/H457,0)</x:f>
        <x:v>0.2982456140350877</x:v>
      </x:c>
      <x:c r="L457" s="14" t="str">
        <x:f>IF(J457&gt;0,"Provisional positive contribution","Not viable")</x:f>
        <x:v>Provisional positive contribution</x:v>
      </x:c>
    </x:row>
    <x:row r="458">
      <x:c r="A458" s="14" t="str">
        <x:v>240gsm Oversized</x:v>
      </x:c>
      <x:c r="B458" s="14" t="n">
        <x:v>100</x:v>
      </x:c>
      <x:c r="C458" s="15" t="n">
        <x:v>599</x:v>
      </x:c>
      <x:c r="D458" s="15" t="n">
        <x:v>399</x:v>
      </x:c>
      <x:c r="E458" s="16" t="n">
        <x:v>0.3</x:v>
      </x:c>
      <x:c r="F458" s="15" t="n">
        <x:f>INDEX('Inputs'!$D$4:$D$6,MATCH(A458,'Inputs'!$A$4:$A$6,0))</x:f>
        <x:v>125</x:v>
      </x:c>
      <x:c r="G458" s="15" t="n">
        <x:f>INDEX('Inputs'!$E$4:$E$6,MATCH(A458,'Inputs'!$A$4:$A$6,0))</x:f>
        <x:v>85</x:v>
      </x:c>
      <x:c r="H458" s="15" t="n">
        <x:f>D458*(1-E458)</x:f>
        <x:v>279.29999999999995</x:v>
      </x:c>
      <x:c r="I458" s="15" t="n">
        <x:f>F458+G458</x:f>
        <x:v>210</x:v>
      </x:c>
      <x:c r="J458" s="15" t="n">
        <x:f>H458-I458</x:f>
        <x:v>69.29999999999995</x:v>
      </x:c>
      <x:c r="K458" s="16" t="n">
        <x:f>IFERROR(J458/H458,0)</x:f>
        <x:v>0.24812030075187957</x:v>
      </x:c>
      <x:c r="L458" s="14" t="str">
        <x:f>IF(J458&gt;0,"Provisional positive contribution","Not viable")</x:f>
        <x:v>Provisional positive contribution</x:v>
      </x:c>
    </x:row>
    <x:row r="459">
      <x:c r="A459" s="14" t="str">
        <x:v>240gsm Oversized</x:v>
      </x:c>
      <x:c r="B459" s="14" t="n">
        <x:v>100</x:v>
      </x:c>
      <x:c r="C459" s="15" t="n">
        <x:v>599</x:v>
      </x:c>
      <x:c r="D459" s="15" t="n">
        <x:v>399</x:v>
      </x:c>
      <x:c r="E459" s="16" t="n">
        <x:v>0.35</x:v>
      </x:c>
      <x:c r="F459" s="15" t="n">
        <x:f>INDEX('Inputs'!$D$4:$D$6,MATCH(A459,'Inputs'!$A$4:$A$6,0))</x:f>
        <x:v>125</x:v>
      </x:c>
      <x:c r="G459" s="15" t="n">
        <x:f>INDEX('Inputs'!$E$4:$E$6,MATCH(A459,'Inputs'!$A$4:$A$6,0))</x:f>
        <x:v>85</x:v>
      </x:c>
      <x:c r="H459" s="15" t="n">
        <x:f>D459*(1-E459)</x:f>
        <x:v>259.35</x:v>
      </x:c>
      <x:c r="I459" s="15" t="n">
        <x:f>F459+G459</x:f>
        <x:v>210</x:v>
      </x:c>
      <x:c r="J459" s="15" t="n">
        <x:f>H459-I459</x:f>
        <x:v>49.35000000000002</x:v>
      </x:c>
      <x:c r="K459" s="16" t="n">
        <x:f>IFERROR(J459/H459,0)</x:f>
        <x:v>0.19028340080971667</x:v>
      </x:c>
      <x:c r="L459" s="14" t="str">
        <x:f>IF(J459&gt;0,"Provisional positive contribution","Not viable")</x:f>
        <x:v>Provisional positive contribution</x:v>
      </x:c>
    </x:row>
    <x:row r="460">
      <x:c r="A460" s="14" t="str">
        <x:v>240gsm Oversized</x:v>
      </x:c>
      <x:c r="B460" s="14" t="n">
        <x:v>100</x:v>
      </x:c>
      <x:c r="C460" s="15" t="n">
        <x:v>599</x:v>
      </x:c>
      <x:c r="D460" s="15" t="n">
        <x:v>449</x:v>
      </x:c>
      <x:c r="E460" s="16" t="n">
        <x:v>0.2</x:v>
      </x:c>
      <x:c r="F460" s="15" t="n">
        <x:f>INDEX('Inputs'!$D$4:$D$6,MATCH(A460,'Inputs'!$A$4:$A$6,0))</x:f>
        <x:v>125</x:v>
      </x:c>
      <x:c r="G460" s="15" t="n">
        <x:f>INDEX('Inputs'!$E$4:$E$6,MATCH(A460,'Inputs'!$A$4:$A$6,0))</x:f>
        <x:v>85</x:v>
      </x:c>
      <x:c r="H460" s="15" t="n">
        <x:f>D460*(1-E460)</x:f>
        <x:v>359.20000000000005</x:v>
      </x:c>
      <x:c r="I460" s="15" t="n">
        <x:f>F460+G460</x:f>
        <x:v>210</x:v>
      </x:c>
      <x:c r="J460" s="15" t="n">
        <x:f>H460-I460</x:f>
        <x:v>149.20000000000005</x:v>
      </x:c>
      <x:c r="K460" s="16" t="n">
        <x:f>IFERROR(J460/H460,0)</x:f>
        <x:v>0.41536748329621387</x:v>
      </x:c>
      <x:c r="L460" s="14" t="str">
        <x:f>IF(J460&gt;0,"Provisional positive contribution","Not viable")</x:f>
        <x:v>Provisional positive contribution</x:v>
      </x:c>
    </x:row>
    <x:row r="461">
      <x:c r="A461" s="14" t="str">
        <x:v>240gsm Oversized</x:v>
      </x:c>
      <x:c r="B461" s="14" t="n">
        <x:v>100</x:v>
      </x:c>
      <x:c r="C461" s="15" t="n">
        <x:v>599</x:v>
      </x:c>
      <x:c r="D461" s="15" t="n">
        <x:v>449</x:v>
      </x:c>
      <x:c r="E461" s="16" t="n">
        <x:v>0.25</x:v>
      </x:c>
      <x:c r="F461" s="15" t="n">
        <x:f>INDEX('Inputs'!$D$4:$D$6,MATCH(A461,'Inputs'!$A$4:$A$6,0))</x:f>
        <x:v>125</x:v>
      </x:c>
      <x:c r="G461" s="15" t="n">
        <x:f>INDEX('Inputs'!$E$4:$E$6,MATCH(A461,'Inputs'!$A$4:$A$6,0))</x:f>
        <x:v>85</x:v>
      </x:c>
      <x:c r="H461" s="15" t="n">
        <x:f>D461*(1-E461)</x:f>
        <x:v>336.75</x:v>
      </x:c>
      <x:c r="I461" s="15" t="n">
        <x:f>F461+G461</x:f>
        <x:v>210</x:v>
      </x:c>
      <x:c r="J461" s="15" t="n">
        <x:f>H461-I461</x:f>
        <x:v>126.75</x:v>
      </x:c>
      <x:c r="K461" s="16" t="n">
        <x:f>IFERROR(J461/H461,0)</x:f>
        <x:v>0.37639198218262804</x:v>
      </x:c>
      <x:c r="L461" s="14" t="str">
        <x:f>IF(J461&gt;0,"Provisional positive contribution","Not viable")</x:f>
        <x:v>Provisional positive contribution</x:v>
      </x:c>
    </x:row>
    <x:row r="462">
      <x:c r="A462" s="14" t="str">
        <x:v>240gsm Oversized</x:v>
      </x:c>
      <x:c r="B462" s="14" t="n">
        <x:v>100</x:v>
      </x:c>
      <x:c r="C462" s="15" t="n">
        <x:v>599</x:v>
      </x:c>
      <x:c r="D462" s="15" t="n">
        <x:v>449</x:v>
      </x:c>
      <x:c r="E462" s="16" t="n">
        <x:v>0.3</x:v>
      </x:c>
      <x:c r="F462" s="15" t="n">
        <x:f>INDEX('Inputs'!$D$4:$D$6,MATCH(A462,'Inputs'!$A$4:$A$6,0))</x:f>
        <x:v>125</x:v>
      </x:c>
      <x:c r="G462" s="15" t="n">
        <x:f>INDEX('Inputs'!$E$4:$E$6,MATCH(A462,'Inputs'!$A$4:$A$6,0))</x:f>
        <x:v>85</x:v>
      </x:c>
      <x:c r="H462" s="15" t="n">
        <x:f>D462*(1-E462)</x:f>
        <x:v>314.29999999999995</x:v>
      </x:c>
      <x:c r="I462" s="15" t="n">
        <x:f>F462+G462</x:f>
        <x:v>210</x:v>
      </x:c>
      <x:c r="J462" s="15" t="n">
        <x:f>H462-I462</x:f>
        <x:v>104.29999999999995</x:v>
      </x:c>
      <x:c r="K462" s="16" t="n">
        <x:f>IFERROR(J462/H462,0)</x:f>
        <x:v>0.33184855233852995</x:v>
      </x:c>
      <x:c r="L462" s="14" t="str">
        <x:f>IF(J462&gt;0,"Provisional positive contribution","Not viable")</x:f>
        <x:v>Provisional positive contribution</x:v>
      </x:c>
    </x:row>
    <x:row r="463">
      <x:c r="A463" s="14" t="str">
        <x:v>240gsm Oversized</x:v>
      </x:c>
      <x:c r="B463" s="14" t="n">
        <x:v>100</x:v>
      </x:c>
      <x:c r="C463" s="15" t="n">
        <x:v>599</x:v>
      </x:c>
      <x:c r="D463" s="15" t="n">
        <x:v>449</x:v>
      </x:c>
      <x:c r="E463" s="16" t="n">
        <x:v>0.35</x:v>
      </x:c>
      <x:c r="F463" s="15" t="n">
        <x:f>INDEX('Inputs'!$D$4:$D$6,MATCH(A463,'Inputs'!$A$4:$A$6,0))</x:f>
        <x:v>125</x:v>
      </x:c>
      <x:c r="G463" s="15" t="n">
        <x:f>INDEX('Inputs'!$E$4:$E$6,MATCH(A463,'Inputs'!$A$4:$A$6,0))</x:f>
        <x:v>85</x:v>
      </x:c>
      <x:c r="H463" s="15" t="n">
        <x:f>D463*(1-E463)</x:f>
        <x:v>291.85</x:v>
      </x:c>
      <x:c r="I463" s="15" t="n">
        <x:f>F463+G463</x:f>
        <x:v>210</x:v>
      </x:c>
      <x:c r="J463" s="15" t="n">
        <x:f>H463-I463</x:f>
        <x:v>81.85000000000002</x:v>
      </x:c>
      <x:c r="K463" s="16" t="n">
        <x:f>IFERROR(J463/H463,0)</x:f>
        <x:v>0.28045228713380166</x:v>
      </x:c>
      <x:c r="L463" s="14" t="str">
        <x:f>IF(J463&gt;0,"Provisional positive contribution","Not viable")</x:f>
        <x:v>Provisional positive contribution</x:v>
      </x:c>
    </x:row>
    <x:row r="464">
      <x:c r="A464" s="14" t="str">
        <x:v>240gsm Oversized</x:v>
      </x:c>
      <x:c r="B464" s="14" t="n">
        <x:v>100</x:v>
      </x:c>
      <x:c r="C464" s="15" t="n">
        <x:v>599</x:v>
      </x:c>
      <x:c r="D464" s="15" t="n">
        <x:v>499</x:v>
      </x:c>
      <x:c r="E464" s="16" t="n">
        <x:v>0.2</x:v>
      </x:c>
      <x:c r="F464" s="15" t="n">
        <x:f>INDEX('Inputs'!$D$4:$D$6,MATCH(A464,'Inputs'!$A$4:$A$6,0))</x:f>
        <x:v>125</x:v>
      </x:c>
      <x:c r="G464" s="15" t="n">
        <x:f>INDEX('Inputs'!$E$4:$E$6,MATCH(A464,'Inputs'!$A$4:$A$6,0))</x:f>
        <x:v>85</x:v>
      </x:c>
      <x:c r="H464" s="15" t="n">
        <x:f>D464*(1-E464)</x:f>
        <x:v>399.20000000000005</x:v>
      </x:c>
      <x:c r="I464" s="15" t="n">
        <x:f>F464+G464</x:f>
        <x:v>210</x:v>
      </x:c>
      <x:c r="J464" s="15" t="n">
        <x:f>H464-I464</x:f>
        <x:v>189.20000000000005</x:v>
      </x:c>
      <x:c r="K464" s="16" t="n">
        <x:f>IFERROR(J464/H464,0)</x:f>
        <x:v>0.47394789579158325</x:v>
      </x:c>
      <x:c r="L464" s="14" t="str">
        <x:f>IF(J464&gt;0,"Provisional positive contribution","Not viable")</x:f>
        <x:v>Provisional positive contribution</x:v>
      </x:c>
    </x:row>
    <x:row r="465">
      <x:c r="A465" s="14" t="str">
        <x:v>240gsm Oversized</x:v>
      </x:c>
      <x:c r="B465" s="14" t="n">
        <x:v>100</x:v>
      </x:c>
      <x:c r="C465" s="15" t="n">
        <x:v>599</x:v>
      </x:c>
      <x:c r="D465" s="15" t="n">
        <x:v>499</x:v>
      </x:c>
      <x:c r="E465" s="16" t="n">
        <x:v>0.25</x:v>
      </x:c>
      <x:c r="F465" s="15" t="n">
        <x:f>INDEX('Inputs'!$D$4:$D$6,MATCH(A465,'Inputs'!$A$4:$A$6,0))</x:f>
        <x:v>125</x:v>
      </x:c>
      <x:c r="G465" s="15" t="n">
        <x:f>INDEX('Inputs'!$E$4:$E$6,MATCH(A465,'Inputs'!$A$4:$A$6,0))</x:f>
        <x:v>85</x:v>
      </x:c>
      <x:c r="H465" s="15" t="n">
        <x:f>D465*(1-E465)</x:f>
        <x:v>374.25</x:v>
      </x:c>
      <x:c r="I465" s="15" t="n">
        <x:f>F465+G465</x:f>
        <x:v>210</x:v>
      </x:c>
      <x:c r="J465" s="15" t="n">
        <x:f>H465-I465</x:f>
        <x:v>164.25</x:v>
      </x:c>
      <x:c r="K465" s="16" t="n">
        <x:f>IFERROR(J465/H465,0)</x:f>
        <x:v>0.43887775551102204</x:v>
      </x:c>
      <x:c r="L465" s="14" t="str">
        <x:f>IF(J465&gt;0,"Provisional positive contribution","Not viable")</x:f>
        <x:v>Provisional positive contribution</x:v>
      </x:c>
    </x:row>
    <x:row r="466">
      <x:c r="A466" s="14" t="str">
        <x:v>240gsm Oversized</x:v>
      </x:c>
      <x:c r="B466" s="14" t="n">
        <x:v>100</x:v>
      </x:c>
      <x:c r="C466" s="15" t="n">
        <x:v>599</x:v>
      </x:c>
      <x:c r="D466" s="15" t="n">
        <x:v>499</x:v>
      </x:c>
      <x:c r="E466" s="16" t="n">
        <x:v>0.3</x:v>
      </x:c>
      <x:c r="F466" s="15" t="n">
        <x:f>INDEX('Inputs'!$D$4:$D$6,MATCH(A466,'Inputs'!$A$4:$A$6,0))</x:f>
        <x:v>125</x:v>
      </x:c>
      <x:c r="G466" s="15" t="n">
        <x:f>INDEX('Inputs'!$E$4:$E$6,MATCH(A466,'Inputs'!$A$4:$A$6,0))</x:f>
        <x:v>85</x:v>
      </x:c>
      <x:c r="H466" s="15" t="n">
        <x:f>D466*(1-E466)</x:f>
        <x:v>349.29999999999995</x:v>
      </x:c>
      <x:c r="I466" s="15" t="n">
        <x:f>F466+G466</x:f>
        <x:v>210</x:v>
      </x:c>
      <x:c r="J466" s="15" t="n">
        <x:f>H466-I466</x:f>
        <x:v>139.29999999999995</x:v>
      </x:c>
      <x:c r="K466" s="16" t="n">
        <x:f>IFERROR(J466/H466,0)</x:f>
        <x:v>0.39879759519038066</x:v>
      </x:c>
      <x:c r="L466" s="14" t="str">
        <x:f>IF(J466&gt;0,"Provisional positive contribution","Not viable")</x:f>
        <x:v>Provisional positive contribution</x:v>
      </x:c>
    </x:row>
    <x:row r="467">
      <x:c r="A467" s="14" t="str">
        <x:v>240gsm Oversized</x:v>
      </x:c>
      <x:c r="B467" s="14" t="n">
        <x:v>100</x:v>
      </x:c>
      <x:c r="C467" s="15" t="n">
        <x:v>599</x:v>
      </x:c>
      <x:c r="D467" s="15" t="n">
        <x:v>499</x:v>
      </x:c>
      <x:c r="E467" s="16" t="n">
        <x:v>0.35</x:v>
      </x:c>
      <x:c r="F467" s="15" t="n">
        <x:f>INDEX('Inputs'!$D$4:$D$6,MATCH(A467,'Inputs'!$A$4:$A$6,0))</x:f>
        <x:v>125</x:v>
      </x:c>
      <x:c r="G467" s="15" t="n">
        <x:f>INDEX('Inputs'!$E$4:$E$6,MATCH(A467,'Inputs'!$A$4:$A$6,0))</x:f>
        <x:v>85</x:v>
      </x:c>
      <x:c r="H467" s="15" t="n">
        <x:f>D467*(1-E467)</x:f>
        <x:v>324.35</x:v>
      </x:c>
      <x:c r="I467" s="15" t="n">
        <x:f>F467+G467</x:f>
        <x:v>210</x:v>
      </x:c>
      <x:c r="J467" s="15" t="n">
        <x:f>H467-I467</x:f>
        <x:v>114.35000000000002</x:v>
      </x:c>
      <x:c r="K467" s="16" t="n">
        <x:f>IFERROR(J467/H467,0)</x:f>
        <x:v>0.35255125635887163</x:v>
      </x:c>
      <x:c r="L467" s="14" t="str">
        <x:f>IF(J467&gt;0,"Provisional positive contribution","Not viable")</x:f>
        <x:v>Provisional positive contribution</x:v>
      </x:c>
    </x:row>
    <x:row r="468">
      <x:c r="A468" s="14" t="str">
        <x:v>240gsm Oversized</x:v>
      </x:c>
      <x:c r="B468" s="14" t="n">
        <x:v>100</x:v>
      </x:c>
      <x:c r="C468" s="15" t="n">
        <x:v>649</x:v>
      </x:c>
      <x:c r="D468" s="15" t="n">
        <x:v>349</x:v>
      </x:c>
      <x:c r="E468" s="16" t="n">
        <x:v>0.2</x:v>
      </x:c>
      <x:c r="F468" s="15" t="n">
        <x:f>INDEX('Inputs'!$D$4:$D$6,MATCH(A468,'Inputs'!$A$4:$A$6,0))</x:f>
        <x:v>125</x:v>
      </x:c>
      <x:c r="G468" s="15" t="n">
        <x:f>INDEX('Inputs'!$E$4:$E$6,MATCH(A468,'Inputs'!$A$4:$A$6,0))</x:f>
        <x:v>85</x:v>
      </x:c>
      <x:c r="H468" s="15" t="n">
        <x:f>D468*(1-E468)</x:f>
        <x:v>279.2</x:v>
      </x:c>
      <x:c r="I468" s="15" t="n">
        <x:f>F468+G468</x:f>
        <x:v>210</x:v>
      </x:c>
      <x:c r="J468" s="15" t="n">
        <x:f>H468-I468</x:f>
        <x:v>69.19999999999999</x:v>
      </x:c>
      <x:c r="K468" s="16" t="n">
        <x:f>IFERROR(J468/H468,0)</x:f>
        <x:v>0.2478510028653295</x:v>
      </x:c>
      <x:c r="L468" s="14" t="str">
        <x:f>IF(J468&gt;0,"Provisional positive contribution","Not viable")</x:f>
        <x:v>Provisional positive contribution</x:v>
      </x:c>
    </x:row>
    <x:row r="469">
      <x:c r="A469" s="14" t="str">
        <x:v>240gsm Oversized</x:v>
      </x:c>
      <x:c r="B469" s="14" t="n">
        <x:v>100</x:v>
      </x:c>
      <x:c r="C469" s="15" t="n">
        <x:v>649</x:v>
      </x:c>
      <x:c r="D469" s="15" t="n">
        <x:v>349</x:v>
      </x:c>
      <x:c r="E469" s="16" t="n">
        <x:v>0.25</x:v>
      </x:c>
      <x:c r="F469" s="15" t="n">
        <x:f>INDEX('Inputs'!$D$4:$D$6,MATCH(A469,'Inputs'!$A$4:$A$6,0))</x:f>
        <x:v>125</x:v>
      </x:c>
      <x:c r="G469" s="15" t="n">
        <x:f>INDEX('Inputs'!$E$4:$E$6,MATCH(A469,'Inputs'!$A$4:$A$6,0))</x:f>
        <x:v>85</x:v>
      </x:c>
      <x:c r="H469" s="15" t="n">
        <x:f>D469*(1-E469)</x:f>
        <x:v>261.75</x:v>
      </x:c>
      <x:c r="I469" s="15" t="n">
        <x:f>F469+G469</x:f>
        <x:v>210</x:v>
      </x:c>
      <x:c r="J469" s="15" t="n">
        <x:f>H469-I469</x:f>
        <x:v>51.75</x:v>
      </x:c>
      <x:c r="K469" s="16" t="n">
        <x:f>IFERROR(J469/H469,0)</x:f>
        <x:v>0.1977077363896848</x:v>
      </x:c>
      <x:c r="L469" s="14" t="str">
        <x:f>IF(J469&gt;0,"Provisional positive contribution","Not viable")</x:f>
        <x:v>Provisional positive contribution</x:v>
      </x:c>
    </x:row>
    <x:row r="470">
      <x:c r="A470" s="14" t="str">
        <x:v>240gsm Oversized</x:v>
      </x:c>
      <x:c r="B470" s="14" t="n">
        <x:v>100</x:v>
      </x:c>
      <x:c r="C470" s="15" t="n">
        <x:v>649</x:v>
      </x:c>
      <x:c r="D470" s="15" t="n">
        <x:v>349</x:v>
      </x:c>
      <x:c r="E470" s="16" t="n">
        <x:v>0.3</x:v>
      </x:c>
      <x:c r="F470" s="15" t="n">
        <x:f>INDEX('Inputs'!$D$4:$D$6,MATCH(A470,'Inputs'!$A$4:$A$6,0))</x:f>
        <x:v>125</x:v>
      </x:c>
      <x:c r="G470" s="15" t="n">
        <x:f>INDEX('Inputs'!$E$4:$E$6,MATCH(A470,'Inputs'!$A$4:$A$6,0))</x:f>
        <x:v>85</x:v>
      </x:c>
      <x:c r="H470" s="15" t="n">
        <x:f>D470*(1-E470)</x:f>
        <x:v>244.29999999999998</x:v>
      </x:c>
      <x:c r="I470" s="15" t="n">
        <x:f>F470+G470</x:f>
        <x:v>210</x:v>
      </x:c>
      <x:c r="J470" s="15" t="n">
        <x:f>H470-I470</x:f>
        <x:v>34.29999999999998</x:v>
      </x:c>
      <x:c r="K470" s="16" t="n">
        <x:f>IFERROR(J470/H470,0)</x:f>
        <x:v>0.1404011461318051</x:v>
      </x:c>
      <x:c r="L470" s="14" t="str">
        <x:f>IF(J470&gt;0,"Provisional positive contribution","Not viable")</x:f>
        <x:v>Provisional positive contribution</x:v>
      </x:c>
    </x:row>
    <x:row r="471">
      <x:c r="A471" s="14" t="str">
        <x:v>240gsm Oversized</x:v>
      </x:c>
      <x:c r="B471" s="14" t="n">
        <x:v>100</x:v>
      </x:c>
      <x:c r="C471" s="15" t="n">
        <x:v>649</x:v>
      </x:c>
      <x:c r="D471" s="15" t="n">
        <x:v>349</x:v>
      </x:c>
      <x:c r="E471" s="16" t="n">
        <x:v>0.35</x:v>
      </x:c>
      <x:c r="F471" s="15" t="n">
        <x:f>INDEX('Inputs'!$D$4:$D$6,MATCH(A471,'Inputs'!$A$4:$A$6,0))</x:f>
        <x:v>125</x:v>
      </x:c>
      <x:c r="G471" s="15" t="n">
        <x:f>INDEX('Inputs'!$E$4:$E$6,MATCH(A471,'Inputs'!$A$4:$A$6,0))</x:f>
        <x:v>85</x:v>
      </x:c>
      <x:c r="H471" s="15" t="n">
        <x:f>D471*(1-E471)</x:f>
        <x:v>226.85</x:v>
      </x:c>
      <x:c r="I471" s="15" t="n">
        <x:f>F471+G471</x:f>
        <x:v>210</x:v>
      </x:c>
      <x:c r="J471" s="15" t="n">
        <x:f>H471-I471</x:f>
        <x:v>16.849999999999994</x:v>
      </x:c>
      <x:c r="K471" s="16" t="n">
        <x:f>IFERROR(J471/H471,0)</x:f>
        <x:v>0.07427815737271322</x:v>
      </x:c>
      <x:c r="L471" s="14" t="str">
        <x:f>IF(J471&gt;0,"Provisional positive contribution","Not viable")</x:f>
        <x:v>Provisional positive contribution</x:v>
      </x:c>
    </x:row>
    <x:row r="472">
      <x:c r="A472" s="14" t="str">
        <x:v>240gsm Oversized</x:v>
      </x:c>
      <x:c r="B472" s="14" t="n">
        <x:v>100</x:v>
      </x:c>
      <x:c r="C472" s="15" t="n">
        <x:v>649</x:v>
      </x:c>
      <x:c r="D472" s="15" t="n">
        <x:v>399</x:v>
      </x:c>
      <x:c r="E472" s="16" t="n">
        <x:v>0.2</x:v>
      </x:c>
      <x:c r="F472" s="15" t="n">
        <x:f>INDEX('Inputs'!$D$4:$D$6,MATCH(A472,'Inputs'!$A$4:$A$6,0))</x:f>
        <x:v>125</x:v>
      </x:c>
      <x:c r="G472" s="15" t="n">
        <x:f>INDEX('Inputs'!$E$4:$E$6,MATCH(A472,'Inputs'!$A$4:$A$6,0))</x:f>
        <x:v>85</x:v>
      </x:c>
      <x:c r="H472" s="15" t="n">
        <x:f>D472*(1-E472)</x:f>
        <x:v>319.20000000000005</x:v>
      </x:c>
      <x:c r="I472" s="15" t="n">
        <x:f>F472+G472</x:f>
        <x:v>210</x:v>
      </x:c>
      <x:c r="J472" s="15" t="n">
        <x:f>H472-I472</x:f>
        <x:v>109.20000000000005</x:v>
      </x:c>
      <x:c r="K472" s="16" t="n">
        <x:f>IFERROR(J472/H472,0)</x:f>
        <x:v>0.34210526315789486</x:v>
      </x:c>
      <x:c r="L472" s="14" t="str">
        <x:f>IF(J472&gt;0,"Provisional positive contribution","Not viable")</x:f>
        <x:v>Provisional positive contribution</x:v>
      </x:c>
    </x:row>
    <x:row r="473">
      <x:c r="A473" s="14" t="str">
        <x:v>240gsm Oversized</x:v>
      </x:c>
      <x:c r="B473" s="14" t="n">
        <x:v>100</x:v>
      </x:c>
      <x:c r="C473" s="15" t="n">
        <x:v>649</x:v>
      </x:c>
      <x:c r="D473" s="15" t="n">
        <x:v>399</x:v>
      </x:c>
      <x:c r="E473" s="16" t="n">
        <x:v>0.25</x:v>
      </x:c>
      <x:c r="F473" s="15" t="n">
        <x:f>INDEX('Inputs'!$D$4:$D$6,MATCH(A473,'Inputs'!$A$4:$A$6,0))</x:f>
        <x:v>125</x:v>
      </x:c>
      <x:c r="G473" s="15" t="n">
        <x:f>INDEX('Inputs'!$E$4:$E$6,MATCH(A473,'Inputs'!$A$4:$A$6,0))</x:f>
        <x:v>85</x:v>
      </x:c>
      <x:c r="H473" s="15" t="n">
        <x:f>D473*(1-E473)</x:f>
        <x:v>299.25</x:v>
      </x:c>
      <x:c r="I473" s="15" t="n">
        <x:f>F473+G473</x:f>
        <x:v>210</x:v>
      </x:c>
      <x:c r="J473" s="15" t="n">
        <x:f>H473-I473</x:f>
        <x:v>89.25</x:v>
      </x:c>
      <x:c r="K473" s="16" t="n">
        <x:f>IFERROR(J473/H473,0)</x:f>
        <x:v>0.2982456140350877</x:v>
      </x:c>
      <x:c r="L473" s="14" t="str">
        <x:f>IF(J473&gt;0,"Provisional positive contribution","Not viable")</x:f>
        <x:v>Provisional positive contribution</x:v>
      </x:c>
    </x:row>
    <x:row r="474">
      <x:c r="A474" s="14" t="str">
        <x:v>240gsm Oversized</x:v>
      </x:c>
      <x:c r="B474" s="14" t="n">
        <x:v>100</x:v>
      </x:c>
      <x:c r="C474" s="15" t="n">
        <x:v>649</x:v>
      </x:c>
      <x:c r="D474" s="15" t="n">
        <x:v>399</x:v>
      </x:c>
      <x:c r="E474" s="16" t="n">
        <x:v>0.3</x:v>
      </x:c>
      <x:c r="F474" s="15" t="n">
        <x:f>INDEX('Inputs'!$D$4:$D$6,MATCH(A474,'Inputs'!$A$4:$A$6,0))</x:f>
        <x:v>125</x:v>
      </x:c>
      <x:c r="G474" s="15" t="n">
        <x:f>INDEX('Inputs'!$E$4:$E$6,MATCH(A474,'Inputs'!$A$4:$A$6,0))</x:f>
        <x:v>85</x:v>
      </x:c>
      <x:c r="H474" s="15" t="n">
        <x:f>D474*(1-E474)</x:f>
        <x:v>279.29999999999995</x:v>
      </x:c>
      <x:c r="I474" s="15" t="n">
        <x:f>F474+G474</x:f>
        <x:v>210</x:v>
      </x:c>
      <x:c r="J474" s="15" t="n">
        <x:f>H474-I474</x:f>
        <x:v>69.29999999999995</x:v>
      </x:c>
      <x:c r="K474" s="16" t="n">
        <x:f>IFERROR(J474/H474,0)</x:f>
        <x:v>0.24812030075187957</x:v>
      </x:c>
      <x:c r="L474" s="14" t="str">
        <x:f>IF(J474&gt;0,"Provisional positive contribution","Not viable")</x:f>
        <x:v>Provisional positive contribution</x:v>
      </x:c>
    </x:row>
    <x:row r="475">
      <x:c r="A475" s="14" t="str">
        <x:v>240gsm Oversized</x:v>
      </x:c>
      <x:c r="B475" s="14" t="n">
        <x:v>100</x:v>
      </x:c>
      <x:c r="C475" s="15" t="n">
        <x:v>649</x:v>
      </x:c>
      <x:c r="D475" s="15" t="n">
        <x:v>399</x:v>
      </x:c>
      <x:c r="E475" s="16" t="n">
        <x:v>0.35</x:v>
      </x:c>
      <x:c r="F475" s="15" t="n">
        <x:f>INDEX('Inputs'!$D$4:$D$6,MATCH(A475,'Inputs'!$A$4:$A$6,0))</x:f>
        <x:v>125</x:v>
      </x:c>
      <x:c r="G475" s="15" t="n">
        <x:f>INDEX('Inputs'!$E$4:$E$6,MATCH(A475,'Inputs'!$A$4:$A$6,0))</x:f>
        <x:v>85</x:v>
      </x:c>
      <x:c r="H475" s="15" t="n">
        <x:f>D475*(1-E475)</x:f>
        <x:v>259.35</x:v>
      </x:c>
      <x:c r="I475" s="15" t="n">
        <x:f>F475+G475</x:f>
        <x:v>210</x:v>
      </x:c>
      <x:c r="J475" s="15" t="n">
        <x:f>H475-I475</x:f>
        <x:v>49.35000000000002</x:v>
      </x:c>
      <x:c r="K475" s="16" t="n">
        <x:f>IFERROR(J475/H475,0)</x:f>
        <x:v>0.19028340080971667</x:v>
      </x:c>
      <x:c r="L475" s="14" t="str">
        <x:f>IF(J475&gt;0,"Provisional positive contribution","Not viable")</x:f>
        <x:v>Provisional positive contribution</x:v>
      </x:c>
    </x:row>
    <x:row r="476">
      <x:c r="A476" s="14" t="str">
        <x:v>240gsm Oversized</x:v>
      </x:c>
      <x:c r="B476" s="14" t="n">
        <x:v>100</x:v>
      </x:c>
      <x:c r="C476" s="15" t="n">
        <x:v>649</x:v>
      </x:c>
      <x:c r="D476" s="15" t="n">
        <x:v>449</x:v>
      </x:c>
      <x:c r="E476" s="16" t="n">
        <x:v>0.2</x:v>
      </x:c>
      <x:c r="F476" s="15" t="n">
        <x:f>INDEX('Inputs'!$D$4:$D$6,MATCH(A476,'Inputs'!$A$4:$A$6,0))</x:f>
        <x:v>125</x:v>
      </x:c>
      <x:c r="G476" s="15" t="n">
        <x:f>INDEX('Inputs'!$E$4:$E$6,MATCH(A476,'Inputs'!$A$4:$A$6,0))</x:f>
        <x:v>85</x:v>
      </x:c>
      <x:c r="H476" s="15" t="n">
        <x:f>D476*(1-E476)</x:f>
        <x:v>359.20000000000005</x:v>
      </x:c>
      <x:c r="I476" s="15" t="n">
        <x:f>F476+G476</x:f>
        <x:v>210</x:v>
      </x:c>
      <x:c r="J476" s="15" t="n">
        <x:f>H476-I476</x:f>
        <x:v>149.20000000000005</x:v>
      </x:c>
      <x:c r="K476" s="16" t="n">
        <x:f>IFERROR(J476/H476,0)</x:f>
        <x:v>0.41536748329621387</x:v>
      </x:c>
      <x:c r="L476" s="14" t="str">
        <x:f>IF(J476&gt;0,"Provisional positive contribution","Not viable")</x:f>
        <x:v>Provisional positive contribution</x:v>
      </x:c>
    </x:row>
    <x:row r="477">
      <x:c r="A477" s="14" t="str">
        <x:v>240gsm Oversized</x:v>
      </x:c>
      <x:c r="B477" s="14" t="n">
        <x:v>100</x:v>
      </x:c>
      <x:c r="C477" s="15" t="n">
        <x:v>649</x:v>
      </x:c>
      <x:c r="D477" s="15" t="n">
        <x:v>449</x:v>
      </x:c>
      <x:c r="E477" s="16" t="n">
        <x:v>0.25</x:v>
      </x:c>
      <x:c r="F477" s="15" t="n">
        <x:f>INDEX('Inputs'!$D$4:$D$6,MATCH(A477,'Inputs'!$A$4:$A$6,0))</x:f>
        <x:v>125</x:v>
      </x:c>
      <x:c r="G477" s="15" t="n">
        <x:f>INDEX('Inputs'!$E$4:$E$6,MATCH(A477,'Inputs'!$A$4:$A$6,0))</x:f>
        <x:v>85</x:v>
      </x:c>
      <x:c r="H477" s="15" t="n">
        <x:f>D477*(1-E477)</x:f>
        <x:v>336.75</x:v>
      </x:c>
      <x:c r="I477" s="15" t="n">
        <x:f>F477+G477</x:f>
        <x:v>210</x:v>
      </x:c>
      <x:c r="J477" s="15" t="n">
        <x:f>H477-I477</x:f>
        <x:v>126.75</x:v>
      </x:c>
      <x:c r="K477" s="16" t="n">
        <x:f>IFERROR(J477/H477,0)</x:f>
        <x:v>0.37639198218262804</x:v>
      </x:c>
      <x:c r="L477" s="14" t="str">
        <x:f>IF(J477&gt;0,"Provisional positive contribution","Not viable")</x:f>
        <x:v>Provisional positive contribution</x:v>
      </x:c>
    </x:row>
    <x:row r="478">
      <x:c r="A478" s="14" t="str">
        <x:v>240gsm Oversized</x:v>
      </x:c>
      <x:c r="B478" s="14" t="n">
        <x:v>100</x:v>
      </x:c>
      <x:c r="C478" s="15" t="n">
        <x:v>649</x:v>
      </x:c>
      <x:c r="D478" s="15" t="n">
        <x:v>449</x:v>
      </x:c>
      <x:c r="E478" s="16" t="n">
        <x:v>0.3</x:v>
      </x:c>
      <x:c r="F478" s="15" t="n">
        <x:f>INDEX('Inputs'!$D$4:$D$6,MATCH(A478,'Inputs'!$A$4:$A$6,0))</x:f>
        <x:v>125</x:v>
      </x:c>
      <x:c r="G478" s="15" t="n">
        <x:f>INDEX('Inputs'!$E$4:$E$6,MATCH(A478,'Inputs'!$A$4:$A$6,0))</x:f>
        <x:v>85</x:v>
      </x:c>
      <x:c r="H478" s="15" t="n">
        <x:f>D478*(1-E478)</x:f>
        <x:v>314.29999999999995</x:v>
      </x:c>
      <x:c r="I478" s="15" t="n">
        <x:f>F478+G478</x:f>
        <x:v>210</x:v>
      </x:c>
      <x:c r="J478" s="15" t="n">
        <x:f>H478-I478</x:f>
        <x:v>104.29999999999995</x:v>
      </x:c>
      <x:c r="K478" s="16" t="n">
        <x:f>IFERROR(J478/H478,0)</x:f>
        <x:v>0.33184855233852995</x:v>
      </x:c>
      <x:c r="L478" s="14" t="str">
        <x:f>IF(J478&gt;0,"Provisional positive contribution","Not viable")</x:f>
        <x:v>Provisional positive contribution</x:v>
      </x:c>
    </x:row>
    <x:row r="479">
      <x:c r="A479" s="14" t="str">
        <x:v>240gsm Oversized</x:v>
      </x:c>
      <x:c r="B479" s="14" t="n">
        <x:v>100</x:v>
      </x:c>
      <x:c r="C479" s="15" t="n">
        <x:v>649</x:v>
      </x:c>
      <x:c r="D479" s="15" t="n">
        <x:v>449</x:v>
      </x:c>
      <x:c r="E479" s="16" t="n">
        <x:v>0.35</x:v>
      </x:c>
      <x:c r="F479" s="15" t="n">
        <x:f>INDEX('Inputs'!$D$4:$D$6,MATCH(A479,'Inputs'!$A$4:$A$6,0))</x:f>
        <x:v>125</x:v>
      </x:c>
      <x:c r="G479" s="15" t="n">
        <x:f>INDEX('Inputs'!$E$4:$E$6,MATCH(A479,'Inputs'!$A$4:$A$6,0))</x:f>
        <x:v>85</x:v>
      </x:c>
      <x:c r="H479" s="15" t="n">
        <x:f>D479*(1-E479)</x:f>
        <x:v>291.85</x:v>
      </x:c>
      <x:c r="I479" s="15" t="n">
        <x:f>F479+G479</x:f>
        <x:v>210</x:v>
      </x:c>
      <x:c r="J479" s="15" t="n">
        <x:f>H479-I479</x:f>
        <x:v>81.85000000000002</x:v>
      </x:c>
      <x:c r="K479" s="16" t="n">
        <x:f>IFERROR(J479/H479,0)</x:f>
        <x:v>0.28045228713380166</x:v>
      </x:c>
      <x:c r="L479" s="14" t="str">
        <x:f>IF(J479&gt;0,"Provisional positive contribution","Not viable")</x:f>
        <x:v>Provisional positive contribution</x:v>
      </x:c>
    </x:row>
    <x:row r="480">
      <x:c r="A480" s="14" t="str">
        <x:v>240gsm Oversized</x:v>
      </x:c>
      <x:c r="B480" s="14" t="n">
        <x:v>100</x:v>
      </x:c>
      <x:c r="C480" s="15" t="n">
        <x:v>649</x:v>
      </x:c>
      <x:c r="D480" s="15" t="n">
        <x:v>499</x:v>
      </x:c>
      <x:c r="E480" s="16" t="n">
        <x:v>0.2</x:v>
      </x:c>
      <x:c r="F480" s="15" t="n">
        <x:f>INDEX('Inputs'!$D$4:$D$6,MATCH(A480,'Inputs'!$A$4:$A$6,0))</x:f>
        <x:v>125</x:v>
      </x:c>
      <x:c r="G480" s="15" t="n">
        <x:f>INDEX('Inputs'!$E$4:$E$6,MATCH(A480,'Inputs'!$A$4:$A$6,0))</x:f>
        <x:v>85</x:v>
      </x:c>
      <x:c r="H480" s="15" t="n">
        <x:f>D480*(1-E480)</x:f>
        <x:v>399.20000000000005</x:v>
      </x:c>
      <x:c r="I480" s="15" t="n">
        <x:f>F480+G480</x:f>
        <x:v>210</x:v>
      </x:c>
      <x:c r="J480" s="15" t="n">
        <x:f>H480-I480</x:f>
        <x:v>189.20000000000005</x:v>
      </x:c>
      <x:c r="K480" s="16" t="n">
        <x:f>IFERROR(J480/H480,0)</x:f>
        <x:v>0.47394789579158325</x:v>
      </x:c>
      <x:c r="L480" s="14" t="str">
        <x:f>IF(J480&gt;0,"Provisional positive contribution","Not viable")</x:f>
        <x:v>Provisional positive contribution</x:v>
      </x:c>
    </x:row>
    <x:row r="481">
      <x:c r="A481" s="14" t="str">
        <x:v>240gsm Oversized</x:v>
      </x:c>
      <x:c r="B481" s="14" t="n">
        <x:v>100</x:v>
      </x:c>
      <x:c r="C481" s="15" t="n">
        <x:v>649</x:v>
      </x:c>
      <x:c r="D481" s="15" t="n">
        <x:v>499</x:v>
      </x:c>
      <x:c r="E481" s="16" t="n">
        <x:v>0.25</x:v>
      </x:c>
      <x:c r="F481" s="15" t="n">
        <x:f>INDEX('Inputs'!$D$4:$D$6,MATCH(A481,'Inputs'!$A$4:$A$6,0))</x:f>
        <x:v>125</x:v>
      </x:c>
      <x:c r="G481" s="15" t="n">
        <x:f>INDEX('Inputs'!$E$4:$E$6,MATCH(A481,'Inputs'!$A$4:$A$6,0))</x:f>
        <x:v>85</x:v>
      </x:c>
      <x:c r="H481" s="15" t="n">
        <x:f>D481*(1-E481)</x:f>
        <x:v>374.25</x:v>
      </x:c>
      <x:c r="I481" s="15" t="n">
        <x:f>F481+G481</x:f>
        <x:v>210</x:v>
      </x:c>
      <x:c r="J481" s="15" t="n">
        <x:f>H481-I481</x:f>
        <x:v>164.25</x:v>
      </x:c>
      <x:c r="K481" s="16" t="n">
        <x:f>IFERROR(J481/H481,0)</x:f>
        <x:v>0.43887775551102204</x:v>
      </x:c>
      <x:c r="L481" s="14" t="str">
        <x:f>IF(J481&gt;0,"Provisional positive contribution","Not viable")</x:f>
        <x:v>Provisional positive contribution</x:v>
      </x:c>
    </x:row>
    <x:row r="482">
      <x:c r="A482" s="14" t="str">
        <x:v>240gsm Oversized</x:v>
      </x:c>
      <x:c r="B482" s="14" t="n">
        <x:v>100</x:v>
      </x:c>
      <x:c r="C482" s="15" t="n">
        <x:v>649</x:v>
      </x:c>
      <x:c r="D482" s="15" t="n">
        <x:v>499</x:v>
      </x:c>
      <x:c r="E482" s="16" t="n">
        <x:v>0.3</x:v>
      </x:c>
      <x:c r="F482" s="15" t="n">
        <x:f>INDEX('Inputs'!$D$4:$D$6,MATCH(A482,'Inputs'!$A$4:$A$6,0))</x:f>
        <x:v>125</x:v>
      </x:c>
      <x:c r="G482" s="15" t="n">
        <x:f>INDEX('Inputs'!$E$4:$E$6,MATCH(A482,'Inputs'!$A$4:$A$6,0))</x:f>
        <x:v>85</x:v>
      </x:c>
      <x:c r="H482" s="15" t="n">
        <x:f>D482*(1-E482)</x:f>
        <x:v>349.29999999999995</x:v>
      </x:c>
      <x:c r="I482" s="15" t="n">
        <x:f>F482+G482</x:f>
        <x:v>210</x:v>
      </x:c>
      <x:c r="J482" s="15" t="n">
        <x:f>H482-I482</x:f>
        <x:v>139.29999999999995</x:v>
      </x:c>
      <x:c r="K482" s="16" t="n">
        <x:f>IFERROR(J482/H482,0)</x:f>
        <x:v>0.39879759519038066</x:v>
      </x:c>
      <x:c r="L482" s="14" t="str">
        <x:f>IF(J482&gt;0,"Provisional positive contribution","Not viable")</x:f>
        <x:v>Provisional positive contribution</x:v>
      </x:c>
    </x:row>
    <x:row r="483">
      <x:c r="A483" s="14" t="str">
        <x:v>240gsm Oversized</x:v>
      </x:c>
      <x:c r="B483" s="14" t="n">
        <x:v>100</x:v>
      </x:c>
      <x:c r="C483" s="15" t="n">
        <x:v>649</x:v>
      </x:c>
      <x:c r="D483" s="15" t="n">
        <x:v>499</x:v>
      </x:c>
      <x:c r="E483" s="16" t="n">
        <x:v>0.35</x:v>
      </x:c>
      <x:c r="F483" s="15" t="n">
        <x:f>INDEX('Inputs'!$D$4:$D$6,MATCH(A483,'Inputs'!$A$4:$A$6,0))</x:f>
        <x:v>125</x:v>
      </x:c>
      <x:c r="G483" s="15" t="n">
        <x:f>INDEX('Inputs'!$E$4:$E$6,MATCH(A483,'Inputs'!$A$4:$A$6,0))</x:f>
        <x:v>85</x:v>
      </x:c>
      <x:c r="H483" s="15" t="n">
        <x:f>D483*(1-E483)</x:f>
        <x:v>324.35</x:v>
      </x:c>
      <x:c r="I483" s="15" t="n">
        <x:f>F483+G483</x:f>
        <x:v>210</x:v>
      </x:c>
      <x:c r="J483" s="15" t="n">
        <x:f>H483-I483</x:f>
        <x:v>114.35000000000002</x:v>
      </x:c>
      <x:c r="K483" s="16" t="n">
        <x:f>IFERROR(J483/H483,0)</x:f>
        <x:v>0.35255125635887163</x:v>
      </x:c>
      <x:c r="L483" s="14" t="str">
        <x:f>IF(J483&gt;0,"Provisional positive contribution","Not viable")</x:f>
        <x:v>Provisional positive contribution</x:v>
      </x:c>
    </x:row>
    <x:row r="484">
      <x:c r="A484" s="14" t="str">
        <x:v>240gsm Oversized</x:v>
      </x:c>
      <x:c r="B484" s="14" t="n">
        <x:v>100</x:v>
      </x:c>
      <x:c r="C484" s="15" t="n">
        <x:v>699</x:v>
      </x:c>
      <x:c r="D484" s="15" t="n">
        <x:v>349</x:v>
      </x:c>
      <x:c r="E484" s="16" t="n">
        <x:v>0.2</x:v>
      </x:c>
      <x:c r="F484" s="15" t="n">
        <x:f>INDEX('Inputs'!$D$4:$D$6,MATCH(A484,'Inputs'!$A$4:$A$6,0))</x:f>
        <x:v>125</x:v>
      </x:c>
      <x:c r="G484" s="15" t="n">
        <x:f>INDEX('Inputs'!$E$4:$E$6,MATCH(A484,'Inputs'!$A$4:$A$6,0))</x:f>
        <x:v>85</x:v>
      </x:c>
      <x:c r="H484" s="15" t="n">
        <x:f>D484*(1-E484)</x:f>
        <x:v>279.2</x:v>
      </x:c>
      <x:c r="I484" s="15" t="n">
        <x:f>F484+G484</x:f>
        <x:v>210</x:v>
      </x:c>
      <x:c r="J484" s="15" t="n">
        <x:f>H484-I484</x:f>
        <x:v>69.19999999999999</x:v>
      </x:c>
      <x:c r="K484" s="16" t="n">
        <x:f>IFERROR(J484/H484,0)</x:f>
        <x:v>0.2478510028653295</x:v>
      </x:c>
      <x:c r="L484" s="14" t="str">
        <x:f>IF(J484&gt;0,"Provisional positive contribution","Not viable")</x:f>
        <x:v>Provisional positive contribution</x:v>
      </x:c>
    </x:row>
    <x:row r="485">
      <x:c r="A485" s="14" t="str">
        <x:v>240gsm Oversized</x:v>
      </x:c>
      <x:c r="B485" s="14" t="n">
        <x:v>100</x:v>
      </x:c>
      <x:c r="C485" s="15" t="n">
        <x:v>699</x:v>
      </x:c>
      <x:c r="D485" s="15" t="n">
        <x:v>349</x:v>
      </x:c>
      <x:c r="E485" s="16" t="n">
        <x:v>0.25</x:v>
      </x:c>
      <x:c r="F485" s="15" t="n">
        <x:f>INDEX('Inputs'!$D$4:$D$6,MATCH(A485,'Inputs'!$A$4:$A$6,0))</x:f>
        <x:v>125</x:v>
      </x:c>
      <x:c r="G485" s="15" t="n">
        <x:f>INDEX('Inputs'!$E$4:$E$6,MATCH(A485,'Inputs'!$A$4:$A$6,0))</x:f>
        <x:v>85</x:v>
      </x:c>
      <x:c r="H485" s="15" t="n">
        <x:f>D485*(1-E485)</x:f>
        <x:v>261.75</x:v>
      </x:c>
      <x:c r="I485" s="15" t="n">
        <x:f>F485+G485</x:f>
        <x:v>210</x:v>
      </x:c>
      <x:c r="J485" s="15" t="n">
        <x:f>H485-I485</x:f>
        <x:v>51.75</x:v>
      </x:c>
      <x:c r="K485" s="16" t="n">
        <x:f>IFERROR(J485/H485,0)</x:f>
        <x:v>0.1977077363896848</x:v>
      </x:c>
      <x:c r="L485" s="14" t="str">
        <x:f>IF(J485&gt;0,"Provisional positive contribution","Not viable")</x:f>
        <x:v>Provisional positive contribution</x:v>
      </x:c>
    </x:row>
    <x:row r="486">
      <x:c r="A486" s="14" t="str">
        <x:v>240gsm Oversized</x:v>
      </x:c>
      <x:c r="B486" s="14" t="n">
        <x:v>100</x:v>
      </x:c>
      <x:c r="C486" s="15" t="n">
        <x:v>699</x:v>
      </x:c>
      <x:c r="D486" s="15" t="n">
        <x:v>349</x:v>
      </x:c>
      <x:c r="E486" s="16" t="n">
        <x:v>0.3</x:v>
      </x:c>
      <x:c r="F486" s="15" t="n">
        <x:f>INDEX('Inputs'!$D$4:$D$6,MATCH(A486,'Inputs'!$A$4:$A$6,0))</x:f>
        <x:v>125</x:v>
      </x:c>
      <x:c r="G486" s="15" t="n">
        <x:f>INDEX('Inputs'!$E$4:$E$6,MATCH(A486,'Inputs'!$A$4:$A$6,0))</x:f>
        <x:v>85</x:v>
      </x:c>
      <x:c r="H486" s="15" t="n">
        <x:f>D486*(1-E486)</x:f>
        <x:v>244.29999999999998</x:v>
      </x:c>
      <x:c r="I486" s="15" t="n">
        <x:f>F486+G486</x:f>
        <x:v>210</x:v>
      </x:c>
      <x:c r="J486" s="15" t="n">
        <x:f>H486-I486</x:f>
        <x:v>34.29999999999998</x:v>
      </x:c>
      <x:c r="K486" s="16" t="n">
        <x:f>IFERROR(J486/H486,0)</x:f>
        <x:v>0.1404011461318051</x:v>
      </x:c>
      <x:c r="L486" s="14" t="str">
        <x:f>IF(J486&gt;0,"Provisional positive contribution","Not viable")</x:f>
        <x:v>Provisional positive contribution</x:v>
      </x:c>
    </x:row>
    <x:row r="487">
      <x:c r="A487" s="14" t="str">
        <x:v>240gsm Oversized</x:v>
      </x:c>
      <x:c r="B487" s="14" t="n">
        <x:v>100</x:v>
      </x:c>
      <x:c r="C487" s="15" t="n">
        <x:v>699</x:v>
      </x:c>
      <x:c r="D487" s="15" t="n">
        <x:v>349</x:v>
      </x:c>
      <x:c r="E487" s="16" t="n">
        <x:v>0.35</x:v>
      </x:c>
      <x:c r="F487" s="15" t="n">
        <x:f>INDEX('Inputs'!$D$4:$D$6,MATCH(A487,'Inputs'!$A$4:$A$6,0))</x:f>
        <x:v>125</x:v>
      </x:c>
      <x:c r="G487" s="15" t="n">
        <x:f>INDEX('Inputs'!$E$4:$E$6,MATCH(A487,'Inputs'!$A$4:$A$6,0))</x:f>
        <x:v>85</x:v>
      </x:c>
      <x:c r="H487" s="15" t="n">
        <x:f>D487*(1-E487)</x:f>
        <x:v>226.85</x:v>
      </x:c>
      <x:c r="I487" s="15" t="n">
        <x:f>F487+G487</x:f>
        <x:v>210</x:v>
      </x:c>
      <x:c r="J487" s="15" t="n">
        <x:f>H487-I487</x:f>
        <x:v>16.849999999999994</x:v>
      </x:c>
      <x:c r="K487" s="16" t="n">
        <x:f>IFERROR(J487/H487,0)</x:f>
        <x:v>0.07427815737271322</x:v>
      </x:c>
      <x:c r="L487" s="14" t="str">
        <x:f>IF(J487&gt;0,"Provisional positive contribution","Not viable")</x:f>
        <x:v>Provisional positive contribution</x:v>
      </x:c>
    </x:row>
    <x:row r="488">
      <x:c r="A488" s="14" t="str">
        <x:v>240gsm Oversized</x:v>
      </x:c>
      <x:c r="B488" s="14" t="n">
        <x:v>100</x:v>
      </x:c>
      <x:c r="C488" s="15" t="n">
        <x:v>699</x:v>
      </x:c>
      <x:c r="D488" s="15" t="n">
        <x:v>399</x:v>
      </x:c>
      <x:c r="E488" s="16" t="n">
        <x:v>0.2</x:v>
      </x:c>
      <x:c r="F488" s="15" t="n">
        <x:f>INDEX('Inputs'!$D$4:$D$6,MATCH(A488,'Inputs'!$A$4:$A$6,0))</x:f>
        <x:v>125</x:v>
      </x:c>
      <x:c r="G488" s="15" t="n">
        <x:f>INDEX('Inputs'!$E$4:$E$6,MATCH(A488,'Inputs'!$A$4:$A$6,0))</x:f>
        <x:v>85</x:v>
      </x:c>
      <x:c r="H488" s="15" t="n">
        <x:f>D488*(1-E488)</x:f>
        <x:v>319.20000000000005</x:v>
      </x:c>
      <x:c r="I488" s="15" t="n">
        <x:f>F488+G488</x:f>
        <x:v>210</x:v>
      </x:c>
      <x:c r="J488" s="15" t="n">
        <x:f>H488-I488</x:f>
        <x:v>109.20000000000005</x:v>
      </x:c>
      <x:c r="K488" s="16" t="n">
        <x:f>IFERROR(J488/H488,0)</x:f>
        <x:v>0.34210526315789486</x:v>
      </x:c>
      <x:c r="L488" s="14" t="str">
        <x:f>IF(J488&gt;0,"Provisional positive contribution","Not viable")</x:f>
        <x:v>Provisional positive contribution</x:v>
      </x:c>
    </x:row>
    <x:row r="489">
      <x:c r="A489" s="14" t="str">
        <x:v>240gsm Oversized</x:v>
      </x:c>
      <x:c r="B489" s="14" t="n">
        <x:v>100</x:v>
      </x:c>
      <x:c r="C489" s="15" t="n">
        <x:v>699</x:v>
      </x:c>
      <x:c r="D489" s="15" t="n">
        <x:v>399</x:v>
      </x:c>
      <x:c r="E489" s="16" t="n">
        <x:v>0.25</x:v>
      </x:c>
      <x:c r="F489" s="15" t="n">
        <x:f>INDEX('Inputs'!$D$4:$D$6,MATCH(A489,'Inputs'!$A$4:$A$6,0))</x:f>
        <x:v>125</x:v>
      </x:c>
      <x:c r="G489" s="15" t="n">
        <x:f>INDEX('Inputs'!$E$4:$E$6,MATCH(A489,'Inputs'!$A$4:$A$6,0))</x:f>
        <x:v>85</x:v>
      </x:c>
      <x:c r="H489" s="15" t="n">
        <x:f>D489*(1-E489)</x:f>
        <x:v>299.25</x:v>
      </x:c>
      <x:c r="I489" s="15" t="n">
        <x:f>F489+G489</x:f>
        <x:v>210</x:v>
      </x:c>
      <x:c r="J489" s="15" t="n">
        <x:f>H489-I489</x:f>
        <x:v>89.25</x:v>
      </x:c>
      <x:c r="K489" s="16" t="n">
        <x:f>IFERROR(J489/H489,0)</x:f>
        <x:v>0.2982456140350877</x:v>
      </x:c>
      <x:c r="L489" s="14" t="str">
        <x:f>IF(J489&gt;0,"Provisional positive contribution","Not viable")</x:f>
        <x:v>Provisional positive contribution</x:v>
      </x:c>
    </x:row>
    <x:row r="490">
      <x:c r="A490" s="14" t="str">
        <x:v>240gsm Oversized</x:v>
      </x:c>
      <x:c r="B490" s="14" t="n">
        <x:v>100</x:v>
      </x:c>
      <x:c r="C490" s="15" t="n">
        <x:v>699</x:v>
      </x:c>
      <x:c r="D490" s="15" t="n">
        <x:v>399</x:v>
      </x:c>
      <x:c r="E490" s="16" t="n">
        <x:v>0.3</x:v>
      </x:c>
      <x:c r="F490" s="15" t="n">
        <x:f>INDEX('Inputs'!$D$4:$D$6,MATCH(A490,'Inputs'!$A$4:$A$6,0))</x:f>
        <x:v>125</x:v>
      </x:c>
      <x:c r="G490" s="15" t="n">
        <x:f>INDEX('Inputs'!$E$4:$E$6,MATCH(A490,'Inputs'!$A$4:$A$6,0))</x:f>
        <x:v>85</x:v>
      </x:c>
      <x:c r="H490" s="15" t="n">
        <x:f>D490*(1-E490)</x:f>
        <x:v>279.29999999999995</x:v>
      </x:c>
      <x:c r="I490" s="15" t="n">
        <x:f>F490+G490</x:f>
        <x:v>210</x:v>
      </x:c>
      <x:c r="J490" s="15" t="n">
        <x:f>H490-I490</x:f>
        <x:v>69.29999999999995</x:v>
      </x:c>
      <x:c r="K490" s="16" t="n">
        <x:f>IFERROR(J490/H490,0)</x:f>
        <x:v>0.24812030075187957</x:v>
      </x:c>
      <x:c r="L490" s="14" t="str">
        <x:f>IF(J490&gt;0,"Provisional positive contribution","Not viable")</x:f>
        <x:v>Provisional positive contribution</x:v>
      </x:c>
    </x:row>
    <x:row r="491">
      <x:c r="A491" s="14" t="str">
        <x:v>240gsm Oversized</x:v>
      </x:c>
      <x:c r="B491" s="14" t="n">
        <x:v>100</x:v>
      </x:c>
      <x:c r="C491" s="15" t="n">
        <x:v>699</x:v>
      </x:c>
      <x:c r="D491" s="15" t="n">
        <x:v>399</x:v>
      </x:c>
      <x:c r="E491" s="16" t="n">
        <x:v>0.35</x:v>
      </x:c>
      <x:c r="F491" s="15" t="n">
        <x:f>INDEX('Inputs'!$D$4:$D$6,MATCH(A491,'Inputs'!$A$4:$A$6,0))</x:f>
        <x:v>125</x:v>
      </x:c>
      <x:c r="G491" s="15" t="n">
        <x:f>INDEX('Inputs'!$E$4:$E$6,MATCH(A491,'Inputs'!$A$4:$A$6,0))</x:f>
        <x:v>85</x:v>
      </x:c>
      <x:c r="H491" s="15" t="n">
        <x:f>D491*(1-E491)</x:f>
        <x:v>259.35</x:v>
      </x:c>
      <x:c r="I491" s="15" t="n">
        <x:f>F491+G491</x:f>
        <x:v>210</x:v>
      </x:c>
      <x:c r="J491" s="15" t="n">
        <x:f>H491-I491</x:f>
        <x:v>49.35000000000002</x:v>
      </x:c>
      <x:c r="K491" s="16" t="n">
        <x:f>IFERROR(J491/H491,0)</x:f>
        <x:v>0.19028340080971667</x:v>
      </x:c>
      <x:c r="L491" s="14" t="str">
        <x:f>IF(J491&gt;0,"Provisional positive contribution","Not viable")</x:f>
        <x:v>Provisional positive contribution</x:v>
      </x:c>
    </x:row>
    <x:row r="492">
      <x:c r="A492" s="14" t="str">
        <x:v>240gsm Oversized</x:v>
      </x:c>
      <x:c r="B492" s="14" t="n">
        <x:v>100</x:v>
      </x:c>
      <x:c r="C492" s="15" t="n">
        <x:v>699</x:v>
      </x:c>
      <x:c r="D492" s="15" t="n">
        <x:v>449</x:v>
      </x:c>
      <x:c r="E492" s="16" t="n">
        <x:v>0.2</x:v>
      </x:c>
      <x:c r="F492" s="15" t="n">
        <x:f>INDEX('Inputs'!$D$4:$D$6,MATCH(A492,'Inputs'!$A$4:$A$6,0))</x:f>
        <x:v>125</x:v>
      </x:c>
      <x:c r="G492" s="15" t="n">
        <x:f>INDEX('Inputs'!$E$4:$E$6,MATCH(A492,'Inputs'!$A$4:$A$6,0))</x:f>
        <x:v>85</x:v>
      </x:c>
      <x:c r="H492" s="15" t="n">
        <x:f>D492*(1-E492)</x:f>
        <x:v>359.20000000000005</x:v>
      </x:c>
      <x:c r="I492" s="15" t="n">
        <x:f>F492+G492</x:f>
        <x:v>210</x:v>
      </x:c>
      <x:c r="J492" s="15" t="n">
        <x:f>H492-I492</x:f>
        <x:v>149.20000000000005</x:v>
      </x:c>
      <x:c r="K492" s="16" t="n">
        <x:f>IFERROR(J492/H492,0)</x:f>
        <x:v>0.41536748329621387</x:v>
      </x:c>
      <x:c r="L492" s="14" t="str">
        <x:f>IF(J492&gt;0,"Provisional positive contribution","Not viable")</x:f>
        <x:v>Provisional positive contribution</x:v>
      </x:c>
    </x:row>
    <x:row r="493">
      <x:c r="A493" s="14" t="str">
        <x:v>240gsm Oversized</x:v>
      </x:c>
      <x:c r="B493" s="14" t="n">
        <x:v>100</x:v>
      </x:c>
      <x:c r="C493" s="15" t="n">
        <x:v>699</x:v>
      </x:c>
      <x:c r="D493" s="15" t="n">
        <x:v>449</x:v>
      </x:c>
      <x:c r="E493" s="16" t="n">
        <x:v>0.25</x:v>
      </x:c>
      <x:c r="F493" s="15" t="n">
        <x:f>INDEX('Inputs'!$D$4:$D$6,MATCH(A493,'Inputs'!$A$4:$A$6,0))</x:f>
        <x:v>125</x:v>
      </x:c>
      <x:c r="G493" s="15" t="n">
        <x:f>INDEX('Inputs'!$E$4:$E$6,MATCH(A493,'Inputs'!$A$4:$A$6,0))</x:f>
        <x:v>85</x:v>
      </x:c>
      <x:c r="H493" s="15" t="n">
        <x:f>D493*(1-E493)</x:f>
        <x:v>336.75</x:v>
      </x:c>
      <x:c r="I493" s="15" t="n">
        <x:f>F493+G493</x:f>
        <x:v>210</x:v>
      </x:c>
      <x:c r="J493" s="15" t="n">
        <x:f>H493-I493</x:f>
        <x:v>126.75</x:v>
      </x:c>
      <x:c r="K493" s="16" t="n">
        <x:f>IFERROR(J493/H493,0)</x:f>
        <x:v>0.37639198218262804</x:v>
      </x:c>
      <x:c r="L493" s="14" t="str">
        <x:f>IF(J493&gt;0,"Provisional positive contribution","Not viable")</x:f>
        <x:v>Provisional positive contribution</x:v>
      </x:c>
    </x:row>
    <x:row r="494">
      <x:c r="A494" s="14" t="str">
        <x:v>240gsm Oversized</x:v>
      </x:c>
      <x:c r="B494" s="14" t="n">
        <x:v>100</x:v>
      </x:c>
      <x:c r="C494" s="15" t="n">
        <x:v>699</x:v>
      </x:c>
      <x:c r="D494" s="15" t="n">
        <x:v>449</x:v>
      </x:c>
      <x:c r="E494" s="16" t="n">
        <x:v>0.3</x:v>
      </x:c>
      <x:c r="F494" s="15" t="n">
        <x:f>INDEX('Inputs'!$D$4:$D$6,MATCH(A494,'Inputs'!$A$4:$A$6,0))</x:f>
        <x:v>125</x:v>
      </x:c>
      <x:c r="G494" s="15" t="n">
        <x:f>INDEX('Inputs'!$E$4:$E$6,MATCH(A494,'Inputs'!$A$4:$A$6,0))</x:f>
        <x:v>85</x:v>
      </x:c>
      <x:c r="H494" s="15" t="n">
        <x:f>D494*(1-E494)</x:f>
        <x:v>314.29999999999995</x:v>
      </x:c>
      <x:c r="I494" s="15" t="n">
        <x:f>F494+G494</x:f>
        <x:v>210</x:v>
      </x:c>
      <x:c r="J494" s="15" t="n">
        <x:f>H494-I494</x:f>
        <x:v>104.29999999999995</x:v>
      </x:c>
      <x:c r="K494" s="16" t="n">
        <x:f>IFERROR(J494/H494,0)</x:f>
        <x:v>0.33184855233852995</x:v>
      </x:c>
      <x:c r="L494" s="14" t="str">
        <x:f>IF(J494&gt;0,"Provisional positive contribution","Not viable")</x:f>
        <x:v>Provisional positive contribution</x:v>
      </x:c>
    </x:row>
    <x:row r="495">
      <x:c r="A495" s="14" t="str">
        <x:v>240gsm Oversized</x:v>
      </x:c>
      <x:c r="B495" s="14" t="n">
        <x:v>100</x:v>
      </x:c>
      <x:c r="C495" s="15" t="n">
        <x:v>699</x:v>
      </x:c>
      <x:c r="D495" s="15" t="n">
        <x:v>449</x:v>
      </x:c>
      <x:c r="E495" s="16" t="n">
        <x:v>0.35</x:v>
      </x:c>
      <x:c r="F495" s="15" t="n">
        <x:f>INDEX('Inputs'!$D$4:$D$6,MATCH(A495,'Inputs'!$A$4:$A$6,0))</x:f>
        <x:v>125</x:v>
      </x:c>
      <x:c r="G495" s="15" t="n">
        <x:f>INDEX('Inputs'!$E$4:$E$6,MATCH(A495,'Inputs'!$A$4:$A$6,0))</x:f>
        <x:v>85</x:v>
      </x:c>
      <x:c r="H495" s="15" t="n">
        <x:f>D495*(1-E495)</x:f>
        <x:v>291.85</x:v>
      </x:c>
      <x:c r="I495" s="15" t="n">
        <x:f>F495+G495</x:f>
        <x:v>210</x:v>
      </x:c>
      <x:c r="J495" s="15" t="n">
        <x:f>H495-I495</x:f>
        <x:v>81.85000000000002</x:v>
      </x:c>
      <x:c r="K495" s="16" t="n">
        <x:f>IFERROR(J495/H495,0)</x:f>
        <x:v>0.28045228713380166</x:v>
      </x:c>
      <x:c r="L495" s="14" t="str">
        <x:f>IF(J495&gt;0,"Provisional positive contribution","Not viable")</x:f>
        <x:v>Provisional positive contribution</x:v>
      </x:c>
    </x:row>
    <x:row r="496">
      <x:c r="A496" s="14" t="str">
        <x:v>240gsm Oversized</x:v>
      </x:c>
      <x:c r="B496" s="14" t="n">
        <x:v>100</x:v>
      </x:c>
      <x:c r="C496" s="15" t="n">
        <x:v>699</x:v>
      </x:c>
      <x:c r="D496" s="15" t="n">
        <x:v>499</x:v>
      </x:c>
      <x:c r="E496" s="16" t="n">
        <x:v>0.2</x:v>
      </x:c>
      <x:c r="F496" s="15" t="n">
        <x:f>INDEX('Inputs'!$D$4:$D$6,MATCH(A496,'Inputs'!$A$4:$A$6,0))</x:f>
        <x:v>125</x:v>
      </x:c>
      <x:c r="G496" s="15" t="n">
        <x:f>INDEX('Inputs'!$E$4:$E$6,MATCH(A496,'Inputs'!$A$4:$A$6,0))</x:f>
        <x:v>85</x:v>
      </x:c>
      <x:c r="H496" s="15" t="n">
        <x:f>D496*(1-E496)</x:f>
        <x:v>399.20000000000005</x:v>
      </x:c>
      <x:c r="I496" s="15" t="n">
        <x:f>F496+G496</x:f>
        <x:v>210</x:v>
      </x:c>
      <x:c r="J496" s="15" t="n">
        <x:f>H496-I496</x:f>
        <x:v>189.20000000000005</x:v>
      </x:c>
      <x:c r="K496" s="16" t="n">
        <x:f>IFERROR(J496/H496,0)</x:f>
        <x:v>0.47394789579158325</x:v>
      </x:c>
      <x:c r="L496" s="14" t="str">
        <x:f>IF(J496&gt;0,"Provisional positive contribution","Not viable")</x:f>
        <x:v>Provisional positive contribution</x:v>
      </x:c>
    </x:row>
    <x:row r="497">
      <x:c r="A497" s="14" t="str">
        <x:v>240gsm Oversized</x:v>
      </x:c>
      <x:c r="B497" s="14" t="n">
        <x:v>100</x:v>
      </x:c>
      <x:c r="C497" s="15" t="n">
        <x:v>699</x:v>
      </x:c>
      <x:c r="D497" s="15" t="n">
        <x:v>499</x:v>
      </x:c>
      <x:c r="E497" s="16" t="n">
        <x:v>0.25</x:v>
      </x:c>
      <x:c r="F497" s="15" t="n">
        <x:f>INDEX('Inputs'!$D$4:$D$6,MATCH(A497,'Inputs'!$A$4:$A$6,0))</x:f>
        <x:v>125</x:v>
      </x:c>
      <x:c r="G497" s="15" t="n">
        <x:f>INDEX('Inputs'!$E$4:$E$6,MATCH(A497,'Inputs'!$A$4:$A$6,0))</x:f>
        <x:v>85</x:v>
      </x:c>
      <x:c r="H497" s="15" t="n">
        <x:f>D497*(1-E497)</x:f>
        <x:v>374.25</x:v>
      </x:c>
      <x:c r="I497" s="15" t="n">
        <x:f>F497+G497</x:f>
        <x:v>210</x:v>
      </x:c>
      <x:c r="J497" s="15" t="n">
        <x:f>H497-I497</x:f>
        <x:v>164.25</x:v>
      </x:c>
      <x:c r="K497" s="16" t="n">
        <x:f>IFERROR(J497/H497,0)</x:f>
        <x:v>0.43887775551102204</x:v>
      </x:c>
      <x:c r="L497" s="14" t="str">
        <x:f>IF(J497&gt;0,"Provisional positive contribution","Not viable")</x:f>
        <x:v>Provisional positive contribution</x:v>
      </x:c>
    </x:row>
    <x:row r="498">
      <x:c r="A498" s="14" t="str">
        <x:v>240gsm Oversized</x:v>
      </x:c>
      <x:c r="B498" s="14" t="n">
        <x:v>100</x:v>
      </x:c>
      <x:c r="C498" s="15" t="n">
        <x:v>699</x:v>
      </x:c>
      <x:c r="D498" s="15" t="n">
        <x:v>499</x:v>
      </x:c>
      <x:c r="E498" s="16" t="n">
        <x:v>0.3</x:v>
      </x:c>
      <x:c r="F498" s="15" t="n">
        <x:f>INDEX('Inputs'!$D$4:$D$6,MATCH(A498,'Inputs'!$A$4:$A$6,0))</x:f>
        <x:v>125</x:v>
      </x:c>
      <x:c r="G498" s="15" t="n">
        <x:f>INDEX('Inputs'!$E$4:$E$6,MATCH(A498,'Inputs'!$A$4:$A$6,0))</x:f>
        <x:v>85</x:v>
      </x:c>
      <x:c r="H498" s="15" t="n">
        <x:f>D498*(1-E498)</x:f>
        <x:v>349.29999999999995</x:v>
      </x:c>
      <x:c r="I498" s="15" t="n">
        <x:f>F498+G498</x:f>
        <x:v>210</x:v>
      </x:c>
      <x:c r="J498" s="15" t="n">
        <x:f>H498-I498</x:f>
        <x:v>139.29999999999995</x:v>
      </x:c>
      <x:c r="K498" s="16" t="n">
        <x:f>IFERROR(J498/H498,0)</x:f>
        <x:v>0.39879759519038066</x:v>
      </x:c>
      <x:c r="L498" s="14" t="str">
        <x:f>IF(J498&gt;0,"Provisional positive contribution","Not viable")</x:f>
        <x:v>Provisional positive contribution</x:v>
      </x:c>
    </x:row>
    <x:row r="499">
      <x:c r="A499" s="14" t="str">
        <x:v>240gsm Oversized</x:v>
      </x:c>
      <x:c r="B499" s="14" t="n">
        <x:v>100</x:v>
      </x:c>
      <x:c r="C499" s="15" t="n">
        <x:v>699</x:v>
      </x:c>
      <x:c r="D499" s="15" t="n">
        <x:v>499</x:v>
      </x:c>
      <x:c r="E499" s="16" t="n">
        <x:v>0.35</x:v>
      </x:c>
      <x:c r="F499" s="15" t="n">
        <x:f>INDEX('Inputs'!$D$4:$D$6,MATCH(A499,'Inputs'!$A$4:$A$6,0))</x:f>
        <x:v>125</x:v>
      </x:c>
      <x:c r="G499" s="15" t="n">
        <x:f>INDEX('Inputs'!$E$4:$E$6,MATCH(A499,'Inputs'!$A$4:$A$6,0))</x:f>
        <x:v>85</x:v>
      </x:c>
      <x:c r="H499" s="15" t="n">
        <x:f>D499*(1-E499)</x:f>
        <x:v>324.35</x:v>
      </x:c>
      <x:c r="I499" s="15" t="n">
        <x:f>F499+G499</x:f>
        <x:v>210</x:v>
      </x:c>
      <x:c r="J499" s="15" t="n">
        <x:f>H499-I499</x:f>
        <x:v>114.35000000000002</x:v>
      </x:c>
      <x:c r="K499" s="16" t="n">
        <x:f>IFERROR(J499/H499,0)</x:f>
        <x:v>0.35255125635887163</x:v>
      </x:c>
      <x:c r="L499" s="14" t="str">
        <x:f>IF(J499&gt;0,"Provisional positive contribution","Not viable")</x:f>
        <x:v>Provisional positive contribution</x:v>
      </x:c>
    </x:row>
    <x:row r="500">
      <x:c r="A500" s="14" t="str">
        <x:v>240gsm Oversized</x:v>
      </x:c>
      <x:c r="B500" s="14" t="n">
        <x:v>100</x:v>
      </x:c>
      <x:c r="C500" s="15" t="n">
        <x:v>749</x:v>
      </x:c>
      <x:c r="D500" s="15" t="n">
        <x:v>349</x:v>
      </x:c>
      <x:c r="E500" s="16" t="n">
        <x:v>0.2</x:v>
      </x:c>
      <x:c r="F500" s="15" t="n">
        <x:f>INDEX('Inputs'!$D$4:$D$6,MATCH(A500,'Inputs'!$A$4:$A$6,0))</x:f>
        <x:v>125</x:v>
      </x:c>
      <x:c r="G500" s="15" t="n">
        <x:f>INDEX('Inputs'!$E$4:$E$6,MATCH(A500,'Inputs'!$A$4:$A$6,0))</x:f>
        <x:v>85</x:v>
      </x:c>
      <x:c r="H500" s="15" t="n">
        <x:f>D500*(1-E500)</x:f>
        <x:v>279.2</x:v>
      </x:c>
      <x:c r="I500" s="15" t="n">
        <x:f>F500+G500</x:f>
        <x:v>210</x:v>
      </x:c>
      <x:c r="J500" s="15" t="n">
        <x:f>H500-I500</x:f>
        <x:v>69.19999999999999</x:v>
      </x:c>
      <x:c r="K500" s="16" t="n">
        <x:f>IFERROR(J500/H500,0)</x:f>
        <x:v>0.2478510028653295</x:v>
      </x:c>
      <x:c r="L500" s="14" t="str">
        <x:f>IF(J500&gt;0,"Provisional positive contribution","Not viable")</x:f>
        <x:v>Provisional positive contribution</x:v>
      </x:c>
    </x:row>
    <x:row r="501">
      <x:c r="A501" s="14" t="str">
        <x:v>240gsm Oversized</x:v>
      </x:c>
      <x:c r="B501" s="14" t="n">
        <x:v>100</x:v>
      </x:c>
      <x:c r="C501" s="15" t="n">
        <x:v>749</x:v>
      </x:c>
      <x:c r="D501" s="15" t="n">
        <x:v>349</x:v>
      </x:c>
      <x:c r="E501" s="16" t="n">
        <x:v>0.25</x:v>
      </x:c>
      <x:c r="F501" s="15" t="n">
        <x:f>INDEX('Inputs'!$D$4:$D$6,MATCH(A501,'Inputs'!$A$4:$A$6,0))</x:f>
        <x:v>125</x:v>
      </x:c>
      <x:c r="G501" s="15" t="n">
        <x:f>INDEX('Inputs'!$E$4:$E$6,MATCH(A501,'Inputs'!$A$4:$A$6,0))</x:f>
        <x:v>85</x:v>
      </x:c>
      <x:c r="H501" s="15" t="n">
        <x:f>D501*(1-E501)</x:f>
        <x:v>261.75</x:v>
      </x:c>
      <x:c r="I501" s="15" t="n">
        <x:f>F501+G501</x:f>
        <x:v>210</x:v>
      </x:c>
      <x:c r="J501" s="15" t="n">
        <x:f>H501-I501</x:f>
        <x:v>51.75</x:v>
      </x:c>
      <x:c r="K501" s="16" t="n">
        <x:f>IFERROR(J501/H501,0)</x:f>
        <x:v>0.1977077363896848</x:v>
      </x:c>
      <x:c r="L501" s="14" t="str">
        <x:f>IF(J501&gt;0,"Provisional positive contribution","Not viable")</x:f>
        <x:v>Provisional positive contribution</x:v>
      </x:c>
    </x:row>
    <x:row r="502">
      <x:c r="A502" s="14" t="str">
        <x:v>240gsm Oversized</x:v>
      </x:c>
      <x:c r="B502" s="14" t="n">
        <x:v>100</x:v>
      </x:c>
      <x:c r="C502" s="15" t="n">
        <x:v>749</x:v>
      </x:c>
      <x:c r="D502" s="15" t="n">
        <x:v>349</x:v>
      </x:c>
      <x:c r="E502" s="16" t="n">
        <x:v>0.3</x:v>
      </x:c>
      <x:c r="F502" s="15" t="n">
        <x:f>INDEX('Inputs'!$D$4:$D$6,MATCH(A502,'Inputs'!$A$4:$A$6,0))</x:f>
        <x:v>125</x:v>
      </x:c>
      <x:c r="G502" s="15" t="n">
        <x:f>INDEX('Inputs'!$E$4:$E$6,MATCH(A502,'Inputs'!$A$4:$A$6,0))</x:f>
        <x:v>85</x:v>
      </x:c>
      <x:c r="H502" s="15" t="n">
        <x:f>D502*(1-E502)</x:f>
        <x:v>244.29999999999998</x:v>
      </x:c>
      <x:c r="I502" s="15" t="n">
        <x:f>F502+G502</x:f>
        <x:v>210</x:v>
      </x:c>
      <x:c r="J502" s="15" t="n">
        <x:f>H502-I502</x:f>
        <x:v>34.29999999999998</x:v>
      </x:c>
      <x:c r="K502" s="16" t="n">
        <x:f>IFERROR(J502/H502,0)</x:f>
        <x:v>0.1404011461318051</x:v>
      </x:c>
      <x:c r="L502" s="14" t="str">
        <x:f>IF(J502&gt;0,"Provisional positive contribution","Not viable")</x:f>
        <x:v>Provisional positive contribution</x:v>
      </x:c>
    </x:row>
    <x:row r="503">
      <x:c r="A503" s="14" t="str">
        <x:v>240gsm Oversized</x:v>
      </x:c>
      <x:c r="B503" s="14" t="n">
        <x:v>100</x:v>
      </x:c>
      <x:c r="C503" s="15" t="n">
        <x:v>749</x:v>
      </x:c>
      <x:c r="D503" s="15" t="n">
        <x:v>349</x:v>
      </x:c>
      <x:c r="E503" s="16" t="n">
        <x:v>0.35</x:v>
      </x:c>
      <x:c r="F503" s="15" t="n">
        <x:f>INDEX('Inputs'!$D$4:$D$6,MATCH(A503,'Inputs'!$A$4:$A$6,0))</x:f>
        <x:v>125</x:v>
      </x:c>
      <x:c r="G503" s="15" t="n">
        <x:f>INDEX('Inputs'!$E$4:$E$6,MATCH(A503,'Inputs'!$A$4:$A$6,0))</x:f>
        <x:v>85</x:v>
      </x:c>
      <x:c r="H503" s="15" t="n">
        <x:f>D503*(1-E503)</x:f>
        <x:v>226.85</x:v>
      </x:c>
      <x:c r="I503" s="15" t="n">
        <x:f>F503+G503</x:f>
        <x:v>210</x:v>
      </x:c>
      <x:c r="J503" s="15" t="n">
        <x:f>H503-I503</x:f>
        <x:v>16.849999999999994</x:v>
      </x:c>
      <x:c r="K503" s="16" t="n">
        <x:f>IFERROR(J503/H503,0)</x:f>
        <x:v>0.07427815737271322</x:v>
      </x:c>
      <x:c r="L503" s="14" t="str">
        <x:f>IF(J503&gt;0,"Provisional positive contribution","Not viable")</x:f>
        <x:v>Provisional positive contribution</x:v>
      </x:c>
    </x:row>
    <x:row r="504">
      <x:c r="A504" s="14" t="str">
        <x:v>240gsm Oversized</x:v>
      </x:c>
      <x:c r="B504" s="14" t="n">
        <x:v>100</x:v>
      </x:c>
      <x:c r="C504" s="15" t="n">
        <x:v>749</x:v>
      </x:c>
      <x:c r="D504" s="15" t="n">
        <x:v>399</x:v>
      </x:c>
      <x:c r="E504" s="16" t="n">
        <x:v>0.2</x:v>
      </x:c>
      <x:c r="F504" s="15" t="n">
        <x:f>INDEX('Inputs'!$D$4:$D$6,MATCH(A504,'Inputs'!$A$4:$A$6,0))</x:f>
        <x:v>125</x:v>
      </x:c>
      <x:c r="G504" s="15" t="n">
        <x:f>INDEX('Inputs'!$E$4:$E$6,MATCH(A504,'Inputs'!$A$4:$A$6,0))</x:f>
        <x:v>85</x:v>
      </x:c>
      <x:c r="H504" s="15" t="n">
        <x:f>D504*(1-E504)</x:f>
        <x:v>319.20000000000005</x:v>
      </x:c>
      <x:c r="I504" s="15" t="n">
        <x:f>F504+G504</x:f>
        <x:v>210</x:v>
      </x:c>
      <x:c r="J504" s="15" t="n">
        <x:f>H504-I504</x:f>
        <x:v>109.20000000000005</x:v>
      </x:c>
      <x:c r="K504" s="16" t="n">
        <x:f>IFERROR(J504/H504,0)</x:f>
        <x:v>0.34210526315789486</x:v>
      </x:c>
      <x:c r="L504" s="14" t="str">
        <x:f>IF(J504&gt;0,"Provisional positive contribution","Not viable")</x:f>
        <x:v>Provisional positive contribution</x:v>
      </x:c>
    </x:row>
    <x:row r="505">
      <x:c r="A505" s="14" t="str">
        <x:v>240gsm Oversized</x:v>
      </x:c>
      <x:c r="B505" s="14" t="n">
        <x:v>100</x:v>
      </x:c>
      <x:c r="C505" s="15" t="n">
        <x:v>749</x:v>
      </x:c>
      <x:c r="D505" s="15" t="n">
        <x:v>399</x:v>
      </x:c>
      <x:c r="E505" s="16" t="n">
        <x:v>0.25</x:v>
      </x:c>
      <x:c r="F505" s="15" t="n">
        <x:f>INDEX('Inputs'!$D$4:$D$6,MATCH(A505,'Inputs'!$A$4:$A$6,0))</x:f>
        <x:v>125</x:v>
      </x:c>
      <x:c r="G505" s="15" t="n">
        <x:f>INDEX('Inputs'!$E$4:$E$6,MATCH(A505,'Inputs'!$A$4:$A$6,0))</x:f>
        <x:v>85</x:v>
      </x:c>
      <x:c r="H505" s="15" t="n">
        <x:f>D505*(1-E505)</x:f>
        <x:v>299.25</x:v>
      </x:c>
      <x:c r="I505" s="15" t="n">
        <x:f>F505+G505</x:f>
        <x:v>210</x:v>
      </x:c>
      <x:c r="J505" s="15" t="n">
        <x:f>H505-I505</x:f>
        <x:v>89.25</x:v>
      </x:c>
      <x:c r="K505" s="16" t="n">
        <x:f>IFERROR(J505/H505,0)</x:f>
        <x:v>0.2982456140350877</x:v>
      </x:c>
      <x:c r="L505" s="14" t="str">
        <x:f>IF(J505&gt;0,"Provisional positive contribution","Not viable")</x:f>
        <x:v>Provisional positive contribution</x:v>
      </x:c>
    </x:row>
    <x:row r="506">
      <x:c r="A506" s="14" t="str">
        <x:v>240gsm Oversized</x:v>
      </x:c>
      <x:c r="B506" s="14" t="n">
        <x:v>100</x:v>
      </x:c>
      <x:c r="C506" s="15" t="n">
        <x:v>749</x:v>
      </x:c>
      <x:c r="D506" s="15" t="n">
        <x:v>399</x:v>
      </x:c>
      <x:c r="E506" s="16" t="n">
        <x:v>0.3</x:v>
      </x:c>
      <x:c r="F506" s="15" t="n">
        <x:f>INDEX('Inputs'!$D$4:$D$6,MATCH(A506,'Inputs'!$A$4:$A$6,0))</x:f>
        <x:v>125</x:v>
      </x:c>
      <x:c r="G506" s="15" t="n">
        <x:f>INDEX('Inputs'!$E$4:$E$6,MATCH(A506,'Inputs'!$A$4:$A$6,0))</x:f>
        <x:v>85</x:v>
      </x:c>
      <x:c r="H506" s="15" t="n">
        <x:f>D506*(1-E506)</x:f>
        <x:v>279.29999999999995</x:v>
      </x:c>
      <x:c r="I506" s="15" t="n">
        <x:f>F506+G506</x:f>
        <x:v>210</x:v>
      </x:c>
      <x:c r="J506" s="15" t="n">
        <x:f>H506-I506</x:f>
        <x:v>69.29999999999995</x:v>
      </x:c>
      <x:c r="K506" s="16" t="n">
        <x:f>IFERROR(J506/H506,0)</x:f>
        <x:v>0.24812030075187957</x:v>
      </x:c>
      <x:c r="L506" s="14" t="str">
        <x:f>IF(J506&gt;0,"Provisional positive contribution","Not viable")</x:f>
        <x:v>Provisional positive contribution</x:v>
      </x:c>
    </x:row>
    <x:row r="507">
      <x:c r="A507" s="14" t="str">
        <x:v>240gsm Oversized</x:v>
      </x:c>
      <x:c r="B507" s="14" t="n">
        <x:v>100</x:v>
      </x:c>
      <x:c r="C507" s="15" t="n">
        <x:v>749</x:v>
      </x:c>
      <x:c r="D507" s="15" t="n">
        <x:v>399</x:v>
      </x:c>
      <x:c r="E507" s="16" t="n">
        <x:v>0.35</x:v>
      </x:c>
      <x:c r="F507" s="15" t="n">
        <x:f>INDEX('Inputs'!$D$4:$D$6,MATCH(A507,'Inputs'!$A$4:$A$6,0))</x:f>
        <x:v>125</x:v>
      </x:c>
      <x:c r="G507" s="15" t="n">
        <x:f>INDEX('Inputs'!$E$4:$E$6,MATCH(A507,'Inputs'!$A$4:$A$6,0))</x:f>
        <x:v>85</x:v>
      </x:c>
      <x:c r="H507" s="15" t="n">
        <x:f>D507*(1-E507)</x:f>
        <x:v>259.35</x:v>
      </x:c>
      <x:c r="I507" s="15" t="n">
        <x:f>F507+G507</x:f>
        <x:v>210</x:v>
      </x:c>
      <x:c r="J507" s="15" t="n">
        <x:f>H507-I507</x:f>
        <x:v>49.35000000000002</x:v>
      </x:c>
      <x:c r="K507" s="16" t="n">
        <x:f>IFERROR(J507/H507,0)</x:f>
        <x:v>0.19028340080971667</x:v>
      </x:c>
      <x:c r="L507" s="14" t="str">
        <x:f>IF(J507&gt;0,"Provisional positive contribution","Not viable")</x:f>
        <x:v>Provisional positive contribution</x:v>
      </x:c>
    </x:row>
    <x:row r="508">
      <x:c r="A508" s="14" t="str">
        <x:v>240gsm Oversized</x:v>
      </x:c>
      <x:c r="B508" s="14" t="n">
        <x:v>100</x:v>
      </x:c>
      <x:c r="C508" s="15" t="n">
        <x:v>749</x:v>
      </x:c>
      <x:c r="D508" s="15" t="n">
        <x:v>449</x:v>
      </x:c>
      <x:c r="E508" s="16" t="n">
        <x:v>0.2</x:v>
      </x:c>
      <x:c r="F508" s="15" t="n">
        <x:f>INDEX('Inputs'!$D$4:$D$6,MATCH(A508,'Inputs'!$A$4:$A$6,0))</x:f>
        <x:v>125</x:v>
      </x:c>
      <x:c r="G508" s="15" t="n">
        <x:f>INDEX('Inputs'!$E$4:$E$6,MATCH(A508,'Inputs'!$A$4:$A$6,0))</x:f>
        <x:v>85</x:v>
      </x:c>
      <x:c r="H508" s="15" t="n">
        <x:f>D508*(1-E508)</x:f>
        <x:v>359.20000000000005</x:v>
      </x:c>
      <x:c r="I508" s="15" t="n">
        <x:f>F508+G508</x:f>
        <x:v>210</x:v>
      </x:c>
      <x:c r="J508" s="15" t="n">
        <x:f>H508-I508</x:f>
        <x:v>149.20000000000005</x:v>
      </x:c>
      <x:c r="K508" s="16" t="n">
        <x:f>IFERROR(J508/H508,0)</x:f>
        <x:v>0.41536748329621387</x:v>
      </x:c>
      <x:c r="L508" s="14" t="str">
        <x:f>IF(J508&gt;0,"Provisional positive contribution","Not viable")</x:f>
        <x:v>Provisional positive contribution</x:v>
      </x:c>
    </x:row>
    <x:row r="509">
      <x:c r="A509" s="14" t="str">
        <x:v>240gsm Oversized</x:v>
      </x:c>
      <x:c r="B509" s="14" t="n">
        <x:v>100</x:v>
      </x:c>
      <x:c r="C509" s="15" t="n">
        <x:v>749</x:v>
      </x:c>
      <x:c r="D509" s="15" t="n">
        <x:v>449</x:v>
      </x:c>
      <x:c r="E509" s="16" t="n">
        <x:v>0.25</x:v>
      </x:c>
      <x:c r="F509" s="15" t="n">
        <x:f>INDEX('Inputs'!$D$4:$D$6,MATCH(A509,'Inputs'!$A$4:$A$6,0))</x:f>
        <x:v>125</x:v>
      </x:c>
      <x:c r="G509" s="15" t="n">
        <x:f>INDEX('Inputs'!$E$4:$E$6,MATCH(A509,'Inputs'!$A$4:$A$6,0))</x:f>
        <x:v>85</x:v>
      </x:c>
      <x:c r="H509" s="15" t="n">
        <x:f>D509*(1-E509)</x:f>
        <x:v>336.75</x:v>
      </x:c>
      <x:c r="I509" s="15" t="n">
        <x:f>F509+G509</x:f>
        <x:v>210</x:v>
      </x:c>
      <x:c r="J509" s="15" t="n">
        <x:f>H509-I509</x:f>
        <x:v>126.75</x:v>
      </x:c>
      <x:c r="K509" s="16" t="n">
        <x:f>IFERROR(J509/H509,0)</x:f>
        <x:v>0.37639198218262804</x:v>
      </x:c>
      <x:c r="L509" s="14" t="str">
        <x:f>IF(J509&gt;0,"Provisional positive contribution","Not viable")</x:f>
        <x:v>Provisional positive contribution</x:v>
      </x:c>
    </x:row>
    <x:row r="510">
      <x:c r="A510" s="14" t="str">
        <x:v>240gsm Oversized</x:v>
      </x:c>
      <x:c r="B510" s="14" t="n">
        <x:v>100</x:v>
      </x:c>
      <x:c r="C510" s="15" t="n">
        <x:v>749</x:v>
      </x:c>
      <x:c r="D510" s="15" t="n">
        <x:v>449</x:v>
      </x:c>
      <x:c r="E510" s="16" t="n">
        <x:v>0.3</x:v>
      </x:c>
      <x:c r="F510" s="15" t="n">
        <x:f>INDEX('Inputs'!$D$4:$D$6,MATCH(A510,'Inputs'!$A$4:$A$6,0))</x:f>
        <x:v>125</x:v>
      </x:c>
      <x:c r="G510" s="15" t="n">
        <x:f>INDEX('Inputs'!$E$4:$E$6,MATCH(A510,'Inputs'!$A$4:$A$6,0))</x:f>
        <x:v>85</x:v>
      </x:c>
      <x:c r="H510" s="15" t="n">
        <x:f>D510*(1-E510)</x:f>
        <x:v>314.29999999999995</x:v>
      </x:c>
      <x:c r="I510" s="15" t="n">
        <x:f>F510+G510</x:f>
        <x:v>210</x:v>
      </x:c>
      <x:c r="J510" s="15" t="n">
        <x:f>H510-I510</x:f>
        <x:v>104.29999999999995</x:v>
      </x:c>
      <x:c r="K510" s="16" t="n">
        <x:f>IFERROR(J510/H510,0)</x:f>
        <x:v>0.33184855233852995</x:v>
      </x:c>
      <x:c r="L510" s="14" t="str">
        <x:f>IF(J510&gt;0,"Provisional positive contribution","Not viable")</x:f>
        <x:v>Provisional positive contribution</x:v>
      </x:c>
    </x:row>
    <x:row r="511">
      <x:c r="A511" s="14" t="str">
        <x:v>240gsm Oversized</x:v>
      </x:c>
      <x:c r="B511" s="14" t="n">
        <x:v>100</x:v>
      </x:c>
      <x:c r="C511" s="15" t="n">
        <x:v>749</x:v>
      </x:c>
      <x:c r="D511" s="15" t="n">
        <x:v>449</x:v>
      </x:c>
      <x:c r="E511" s="16" t="n">
        <x:v>0.35</x:v>
      </x:c>
      <x:c r="F511" s="15" t="n">
        <x:f>INDEX('Inputs'!$D$4:$D$6,MATCH(A511,'Inputs'!$A$4:$A$6,0))</x:f>
        <x:v>125</x:v>
      </x:c>
      <x:c r="G511" s="15" t="n">
        <x:f>INDEX('Inputs'!$E$4:$E$6,MATCH(A511,'Inputs'!$A$4:$A$6,0))</x:f>
        <x:v>85</x:v>
      </x:c>
      <x:c r="H511" s="15" t="n">
        <x:f>D511*(1-E511)</x:f>
        <x:v>291.85</x:v>
      </x:c>
      <x:c r="I511" s="15" t="n">
        <x:f>F511+G511</x:f>
        <x:v>210</x:v>
      </x:c>
      <x:c r="J511" s="15" t="n">
        <x:f>H511-I511</x:f>
        <x:v>81.85000000000002</x:v>
      </x:c>
      <x:c r="K511" s="16" t="n">
        <x:f>IFERROR(J511/H511,0)</x:f>
        <x:v>0.28045228713380166</x:v>
      </x:c>
      <x:c r="L511" s="14" t="str">
        <x:f>IF(J511&gt;0,"Provisional positive contribution","Not viable")</x:f>
        <x:v>Provisional positive contribution</x:v>
      </x:c>
    </x:row>
    <x:row r="512">
      <x:c r="A512" s="14" t="str">
        <x:v>240gsm Oversized</x:v>
      </x:c>
      <x:c r="B512" s="14" t="n">
        <x:v>100</x:v>
      </x:c>
      <x:c r="C512" s="15" t="n">
        <x:v>749</x:v>
      </x:c>
      <x:c r="D512" s="15" t="n">
        <x:v>499</x:v>
      </x:c>
      <x:c r="E512" s="16" t="n">
        <x:v>0.2</x:v>
      </x:c>
      <x:c r="F512" s="15" t="n">
        <x:f>INDEX('Inputs'!$D$4:$D$6,MATCH(A512,'Inputs'!$A$4:$A$6,0))</x:f>
        <x:v>125</x:v>
      </x:c>
      <x:c r="G512" s="15" t="n">
        <x:f>INDEX('Inputs'!$E$4:$E$6,MATCH(A512,'Inputs'!$A$4:$A$6,0))</x:f>
        <x:v>85</x:v>
      </x:c>
      <x:c r="H512" s="15" t="n">
        <x:f>D512*(1-E512)</x:f>
        <x:v>399.20000000000005</x:v>
      </x:c>
      <x:c r="I512" s="15" t="n">
        <x:f>F512+G512</x:f>
        <x:v>210</x:v>
      </x:c>
      <x:c r="J512" s="15" t="n">
        <x:f>H512-I512</x:f>
        <x:v>189.20000000000005</x:v>
      </x:c>
      <x:c r="K512" s="16" t="n">
        <x:f>IFERROR(J512/H512,0)</x:f>
        <x:v>0.47394789579158325</x:v>
      </x:c>
      <x:c r="L512" s="14" t="str">
        <x:f>IF(J512&gt;0,"Provisional positive contribution","Not viable")</x:f>
        <x:v>Provisional positive contribution</x:v>
      </x:c>
    </x:row>
    <x:row r="513">
      <x:c r="A513" s="14" t="str">
        <x:v>240gsm Oversized</x:v>
      </x:c>
      <x:c r="B513" s="14" t="n">
        <x:v>100</x:v>
      </x:c>
      <x:c r="C513" s="15" t="n">
        <x:v>749</x:v>
      </x:c>
      <x:c r="D513" s="15" t="n">
        <x:v>499</x:v>
      </x:c>
      <x:c r="E513" s="16" t="n">
        <x:v>0.25</x:v>
      </x:c>
      <x:c r="F513" s="15" t="n">
        <x:f>INDEX('Inputs'!$D$4:$D$6,MATCH(A513,'Inputs'!$A$4:$A$6,0))</x:f>
        <x:v>125</x:v>
      </x:c>
      <x:c r="G513" s="15" t="n">
        <x:f>INDEX('Inputs'!$E$4:$E$6,MATCH(A513,'Inputs'!$A$4:$A$6,0))</x:f>
        <x:v>85</x:v>
      </x:c>
      <x:c r="H513" s="15" t="n">
        <x:f>D513*(1-E513)</x:f>
        <x:v>374.25</x:v>
      </x:c>
      <x:c r="I513" s="15" t="n">
        <x:f>F513+G513</x:f>
        <x:v>210</x:v>
      </x:c>
      <x:c r="J513" s="15" t="n">
        <x:f>H513-I513</x:f>
        <x:v>164.25</x:v>
      </x:c>
      <x:c r="K513" s="16" t="n">
        <x:f>IFERROR(J513/H513,0)</x:f>
        <x:v>0.43887775551102204</x:v>
      </x:c>
      <x:c r="L513" s="14" t="str">
        <x:f>IF(J513&gt;0,"Provisional positive contribution","Not viable")</x:f>
        <x:v>Provisional positive contribution</x:v>
      </x:c>
    </x:row>
    <x:row r="514">
      <x:c r="A514" s="14" t="str">
        <x:v>240gsm Oversized</x:v>
      </x:c>
      <x:c r="B514" s="14" t="n">
        <x:v>100</x:v>
      </x:c>
      <x:c r="C514" s="15" t="n">
        <x:v>749</x:v>
      </x:c>
      <x:c r="D514" s="15" t="n">
        <x:v>499</x:v>
      </x:c>
      <x:c r="E514" s="16" t="n">
        <x:v>0.3</x:v>
      </x:c>
      <x:c r="F514" s="15" t="n">
        <x:f>INDEX('Inputs'!$D$4:$D$6,MATCH(A514,'Inputs'!$A$4:$A$6,0))</x:f>
        <x:v>125</x:v>
      </x:c>
      <x:c r="G514" s="15" t="n">
        <x:f>INDEX('Inputs'!$E$4:$E$6,MATCH(A514,'Inputs'!$A$4:$A$6,0))</x:f>
        <x:v>85</x:v>
      </x:c>
      <x:c r="H514" s="15" t="n">
        <x:f>D514*(1-E514)</x:f>
        <x:v>349.29999999999995</x:v>
      </x:c>
      <x:c r="I514" s="15" t="n">
        <x:f>F514+G514</x:f>
        <x:v>210</x:v>
      </x:c>
      <x:c r="J514" s="15" t="n">
        <x:f>H514-I514</x:f>
        <x:v>139.29999999999995</x:v>
      </x:c>
      <x:c r="K514" s="16" t="n">
        <x:f>IFERROR(J514/H514,0)</x:f>
        <x:v>0.39879759519038066</x:v>
      </x:c>
      <x:c r="L514" s="14" t="str">
        <x:f>IF(J514&gt;0,"Provisional positive contribution","Not viable")</x:f>
        <x:v>Provisional positive contribution</x:v>
      </x:c>
    </x:row>
    <x:row r="515">
      <x:c r="A515" s="14" t="str">
        <x:v>240gsm Oversized</x:v>
      </x:c>
      <x:c r="B515" s="14" t="n">
        <x:v>100</x:v>
      </x:c>
      <x:c r="C515" s="15" t="n">
        <x:v>749</x:v>
      </x:c>
      <x:c r="D515" s="15" t="n">
        <x:v>499</x:v>
      </x:c>
      <x:c r="E515" s="16" t="n">
        <x:v>0.35</x:v>
      </x:c>
      <x:c r="F515" s="15" t="n">
        <x:f>INDEX('Inputs'!$D$4:$D$6,MATCH(A515,'Inputs'!$A$4:$A$6,0))</x:f>
        <x:v>125</x:v>
      </x:c>
      <x:c r="G515" s="15" t="n">
        <x:f>INDEX('Inputs'!$E$4:$E$6,MATCH(A515,'Inputs'!$A$4:$A$6,0))</x:f>
        <x:v>85</x:v>
      </x:c>
      <x:c r="H515" s="15" t="n">
        <x:f>D515*(1-E515)</x:f>
        <x:v>324.35</x:v>
      </x:c>
      <x:c r="I515" s="15" t="n">
        <x:f>F515+G515</x:f>
        <x:v>210</x:v>
      </x:c>
      <x:c r="J515" s="15" t="n">
        <x:f>H515-I515</x:f>
        <x:v>114.35000000000002</x:v>
      </x:c>
      <x:c r="K515" s="16" t="n">
        <x:f>IFERROR(J515/H515,0)</x:f>
        <x:v>0.35255125635887163</x:v>
      </x:c>
      <x:c r="L515" s="14" t="str">
        <x:f>IF(J515&gt;0,"Provisional positive contribution","Not viable")</x:f>
        <x:v>Provisional positive contribution</x:v>
      </x:c>
    </x:row>
    <x:row r="516">
      <x:c r="A516" s="14" t="str">
        <x:v>220gsm Cotton</x:v>
      </x:c>
      <x:c r="B516" s="14" t="n">
        <x:v>10</x:v>
      </x:c>
      <x:c r="C516" s="15" t="n">
        <x:v>599</x:v>
      </x:c>
      <x:c r="D516" s="15" t="n">
        <x:v>349</x:v>
      </x:c>
      <x:c r="E516" s="16" t="n">
        <x:v>0.2</x:v>
      </x:c>
      <x:c r="F516" s="15" t="n">
        <x:f>INDEX('Inputs'!$D$4:$D$6,MATCH(A516,'Inputs'!$A$4:$A$6,0))</x:f>
        <x:v>105</x:v>
      </x:c>
      <x:c r="G516" s="15" t="n">
        <x:f>INDEX('Inputs'!$E$4:$E$6,MATCH(A516,'Inputs'!$A$4:$A$6,0))</x:f>
        <x:v>85</x:v>
      </x:c>
      <x:c r="H516" s="15" t="n">
        <x:f>D516*(1-E516)</x:f>
        <x:v>279.2</x:v>
      </x:c>
      <x:c r="I516" s="15" t="n">
        <x:f>F516+G516</x:f>
        <x:v>190</x:v>
      </x:c>
      <x:c r="J516" s="15" t="n">
        <x:f>H516-I516</x:f>
        <x:v>89.19999999999999</x:v>
      </x:c>
      <x:c r="K516" s="16" t="n">
        <x:f>IFERROR(J516/H516,0)</x:f>
        <x:v>0.31948424068767906</x:v>
      </x:c>
      <x:c r="L516" s="14" t="str">
        <x:f>IF(J516&gt;0,"Provisional positive contribution","Not viable")</x:f>
        <x:v>Provisional positive contribution</x:v>
      </x:c>
    </x:row>
    <x:row r="517">
      <x:c r="A517" s="14" t="str">
        <x:v>220gsm Cotton</x:v>
      </x:c>
      <x:c r="B517" s="14" t="n">
        <x:v>10</x:v>
      </x:c>
      <x:c r="C517" s="15" t="n">
        <x:v>599</x:v>
      </x:c>
      <x:c r="D517" s="15" t="n">
        <x:v>349</x:v>
      </x:c>
      <x:c r="E517" s="16" t="n">
        <x:v>0.25</x:v>
      </x:c>
      <x:c r="F517" s="15" t="n">
        <x:f>INDEX('Inputs'!$D$4:$D$6,MATCH(A517,'Inputs'!$A$4:$A$6,0))</x:f>
        <x:v>105</x:v>
      </x:c>
      <x:c r="G517" s="15" t="n">
        <x:f>INDEX('Inputs'!$E$4:$E$6,MATCH(A517,'Inputs'!$A$4:$A$6,0))</x:f>
        <x:v>85</x:v>
      </x:c>
      <x:c r="H517" s="15" t="n">
        <x:f>D517*(1-E517)</x:f>
        <x:v>261.75</x:v>
      </x:c>
      <x:c r="I517" s="15" t="n">
        <x:f>F517+G517</x:f>
        <x:v>190</x:v>
      </x:c>
      <x:c r="J517" s="15" t="n">
        <x:f>H517-I517</x:f>
        <x:v>71.75</x:v>
      </x:c>
      <x:c r="K517" s="16" t="n">
        <x:f>IFERROR(J517/H517,0)</x:f>
        <x:v>0.27411652340019105</x:v>
      </x:c>
      <x:c r="L517" s="14" t="str">
        <x:f>IF(J517&gt;0,"Provisional positive contribution","Not viable")</x:f>
        <x:v>Provisional positive contribution</x:v>
      </x:c>
    </x:row>
    <x:row r="518">
      <x:c r="A518" s="14" t="str">
        <x:v>220gsm Cotton</x:v>
      </x:c>
      <x:c r="B518" s="14" t="n">
        <x:v>10</x:v>
      </x:c>
      <x:c r="C518" s="15" t="n">
        <x:v>599</x:v>
      </x:c>
      <x:c r="D518" s="15" t="n">
        <x:v>349</x:v>
      </x:c>
      <x:c r="E518" s="16" t="n">
        <x:v>0.3</x:v>
      </x:c>
      <x:c r="F518" s="15" t="n">
        <x:f>INDEX('Inputs'!$D$4:$D$6,MATCH(A518,'Inputs'!$A$4:$A$6,0))</x:f>
        <x:v>105</x:v>
      </x:c>
      <x:c r="G518" s="15" t="n">
        <x:f>INDEX('Inputs'!$E$4:$E$6,MATCH(A518,'Inputs'!$A$4:$A$6,0))</x:f>
        <x:v>85</x:v>
      </x:c>
      <x:c r="H518" s="15" t="n">
        <x:f>D518*(1-E518)</x:f>
        <x:v>244.29999999999998</x:v>
      </x:c>
      <x:c r="I518" s="15" t="n">
        <x:f>F518+G518</x:f>
        <x:v>190</x:v>
      </x:c>
      <x:c r="J518" s="15" t="n">
        <x:f>H518-I518</x:f>
        <x:v>54.29999999999998</x:v>
      </x:c>
      <x:c r="K518" s="16" t="n">
        <x:f>IFERROR(J518/H518,0)</x:f>
        <x:v>0.22226770364306175</x:v>
      </x:c>
      <x:c r="L518" s="14" t="str">
        <x:f>IF(J518&gt;0,"Provisional positive contribution","Not viable")</x:f>
        <x:v>Provisional positive contribution</x:v>
      </x:c>
    </x:row>
    <x:row r="519">
      <x:c r="A519" s="14" t="str">
        <x:v>220gsm Cotton</x:v>
      </x:c>
      <x:c r="B519" s="14" t="n">
        <x:v>10</x:v>
      </x:c>
      <x:c r="C519" s="15" t="n">
        <x:v>599</x:v>
      </x:c>
      <x:c r="D519" s="15" t="n">
        <x:v>349</x:v>
      </x:c>
      <x:c r="E519" s="16" t="n">
        <x:v>0.35</x:v>
      </x:c>
      <x:c r="F519" s="15" t="n">
        <x:f>INDEX('Inputs'!$D$4:$D$6,MATCH(A519,'Inputs'!$A$4:$A$6,0))</x:f>
        <x:v>105</x:v>
      </x:c>
      <x:c r="G519" s="15" t="n">
        <x:f>INDEX('Inputs'!$E$4:$E$6,MATCH(A519,'Inputs'!$A$4:$A$6,0))</x:f>
        <x:v>85</x:v>
      </x:c>
      <x:c r="H519" s="15" t="n">
        <x:f>D519*(1-E519)</x:f>
        <x:v>226.85</x:v>
      </x:c>
      <x:c r="I519" s="15" t="n">
        <x:f>F519+G519</x:f>
        <x:v>190</x:v>
      </x:c>
      <x:c r="J519" s="15" t="n">
        <x:f>H519-I519</x:f>
        <x:v>36.849999999999994</x:v>
      </x:c>
      <x:c r="K519" s="16" t="n">
        <x:f>IFERROR(J519/H519,0)</x:f>
        <x:v>0.16244214238483579</x:v>
      </x:c>
      <x:c r="L519" s="14" t="str">
        <x:f>IF(J519&gt;0,"Provisional positive contribution","Not viable")</x:f>
        <x:v>Provisional positive contribution</x:v>
      </x:c>
    </x:row>
    <x:row r="520">
      <x:c r="A520" s="14" t="str">
        <x:v>220gsm Cotton</x:v>
      </x:c>
      <x:c r="B520" s="14" t="n">
        <x:v>10</x:v>
      </x:c>
      <x:c r="C520" s="15" t="n">
        <x:v>599</x:v>
      </x:c>
      <x:c r="D520" s="15" t="n">
        <x:v>399</x:v>
      </x:c>
      <x:c r="E520" s="16" t="n">
        <x:v>0.2</x:v>
      </x:c>
      <x:c r="F520" s="15" t="n">
        <x:f>INDEX('Inputs'!$D$4:$D$6,MATCH(A520,'Inputs'!$A$4:$A$6,0))</x:f>
        <x:v>105</x:v>
      </x:c>
      <x:c r="G520" s="15" t="n">
        <x:f>INDEX('Inputs'!$E$4:$E$6,MATCH(A520,'Inputs'!$A$4:$A$6,0))</x:f>
        <x:v>85</x:v>
      </x:c>
      <x:c r="H520" s="15" t="n">
        <x:f>D520*(1-E520)</x:f>
        <x:v>319.20000000000005</x:v>
      </x:c>
      <x:c r="I520" s="15" t="n">
        <x:f>F520+G520</x:f>
        <x:v>190</x:v>
      </x:c>
      <x:c r="J520" s="15" t="n">
        <x:f>H520-I520</x:f>
        <x:v>129.20000000000005</x:v>
      </x:c>
      <x:c r="K520" s="16" t="n">
        <x:f>IFERROR(J520/H520,0)</x:f>
        <x:v>0.4047619047619048</x:v>
      </x:c>
      <x:c r="L520" s="14" t="str">
        <x:f>IF(J520&gt;0,"Provisional positive contribution","Not viable")</x:f>
        <x:v>Provisional positive contribution</x:v>
      </x:c>
    </x:row>
    <x:row r="521">
      <x:c r="A521" s="14" t="str">
        <x:v>220gsm Cotton</x:v>
      </x:c>
      <x:c r="B521" s="14" t="n">
        <x:v>10</x:v>
      </x:c>
      <x:c r="C521" s="15" t="n">
        <x:v>599</x:v>
      </x:c>
      <x:c r="D521" s="15" t="n">
        <x:v>399</x:v>
      </x:c>
      <x:c r="E521" s="16" t="n">
        <x:v>0.25</x:v>
      </x:c>
      <x:c r="F521" s="15" t="n">
        <x:f>INDEX('Inputs'!$D$4:$D$6,MATCH(A521,'Inputs'!$A$4:$A$6,0))</x:f>
        <x:v>105</x:v>
      </x:c>
      <x:c r="G521" s="15" t="n">
        <x:f>INDEX('Inputs'!$E$4:$E$6,MATCH(A521,'Inputs'!$A$4:$A$6,0))</x:f>
        <x:v>85</x:v>
      </x:c>
      <x:c r="H521" s="15" t="n">
        <x:f>D521*(1-E521)</x:f>
        <x:v>299.25</x:v>
      </x:c>
      <x:c r="I521" s="15" t="n">
        <x:f>F521+G521</x:f>
        <x:v>190</x:v>
      </x:c>
      <x:c r="J521" s="15" t="n">
        <x:f>H521-I521</x:f>
        <x:v>109.25</x:v>
      </x:c>
      <x:c r="K521" s="16" t="n">
        <x:f>IFERROR(J521/H521,0)</x:f>
        <x:v>0.36507936507936506</x:v>
      </x:c>
      <x:c r="L521" s="14" t="str">
        <x:f>IF(J521&gt;0,"Provisional positive contribution","Not viable")</x:f>
        <x:v>Provisional positive contribution</x:v>
      </x:c>
    </x:row>
    <x:row r="522">
      <x:c r="A522" s="14" t="str">
        <x:v>220gsm Cotton</x:v>
      </x:c>
      <x:c r="B522" s="14" t="n">
        <x:v>10</x:v>
      </x:c>
      <x:c r="C522" s="15" t="n">
        <x:v>599</x:v>
      </x:c>
      <x:c r="D522" s="15" t="n">
        <x:v>399</x:v>
      </x:c>
      <x:c r="E522" s="16" t="n">
        <x:v>0.3</x:v>
      </x:c>
      <x:c r="F522" s="15" t="n">
        <x:f>INDEX('Inputs'!$D$4:$D$6,MATCH(A522,'Inputs'!$A$4:$A$6,0))</x:f>
        <x:v>105</x:v>
      </x:c>
      <x:c r="G522" s="15" t="n">
        <x:f>INDEX('Inputs'!$E$4:$E$6,MATCH(A522,'Inputs'!$A$4:$A$6,0))</x:f>
        <x:v>85</x:v>
      </x:c>
      <x:c r="H522" s="15" t="n">
        <x:f>D522*(1-E522)</x:f>
        <x:v>279.29999999999995</x:v>
      </x:c>
      <x:c r="I522" s="15" t="n">
        <x:f>F522+G522</x:f>
        <x:v>190</x:v>
      </x:c>
      <x:c r="J522" s="15" t="n">
        <x:f>H522-I522</x:f>
        <x:v>89.29999999999995</x:v>
      </x:c>
      <x:c r="K522" s="16" t="n">
        <x:f>IFERROR(J522/H522,0)</x:f>
        <x:v>0.3197278911564625</x:v>
      </x:c>
      <x:c r="L522" s="14" t="str">
        <x:f>IF(J522&gt;0,"Provisional positive contribution","Not viable")</x:f>
        <x:v>Provisional positive contribution</x:v>
      </x:c>
    </x:row>
    <x:row r="523">
      <x:c r="A523" s="14" t="str">
        <x:v>220gsm Cotton</x:v>
      </x:c>
      <x:c r="B523" s="14" t="n">
        <x:v>10</x:v>
      </x:c>
      <x:c r="C523" s="15" t="n">
        <x:v>599</x:v>
      </x:c>
      <x:c r="D523" s="15" t="n">
        <x:v>399</x:v>
      </x:c>
      <x:c r="E523" s="16" t="n">
        <x:v>0.35</x:v>
      </x:c>
      <x:c r="F523" s="15" t="n">
        <x:f>INDEX('Inputs'!$D$4:$D$6,MATCH(A523,'Inputs'!$A$4:$A$6,0))</x:f>
        <x:v>105</x:v>
      </x:c>
      <x:c r="G523" s="15" t="n">
        <x:f>INDEX('Inputs'!$E$4:$E$6,MATCH(A523,'Inputs'!$A$4:$A$6,0))</x:f>
        <x:v>85</x:v>
      </x:c>
      <x:c r="H523" s="15" t="n">
        <x:f>D523*(1-E523)</x:f>
        <x:v>259.35</x:v>
      </x:c>
      <x:c r="I523" s="15" t="n">
        <x:f>F523+G523</x:f>
        <x:v>190</x:v>
      </x:c>
      <x:c r="J523" s="15" t="n">
        <x:f>H523-I523</x:f>
        <x:v>69.35000000000002</x:v>
      </x:c>
      <x:c r="K523" s="16" t="n">
        <x:f>IFERROR(J523/H523,0)</x:f>
        <x:v>0.26739926739926745</x:v>
      </x:c>
      <x:c r="L523" s="14" t="str">
        <x:f>IF(J523&gt;0,"Provisional positive contribution","Not viable")</x:f>
        <x:v>Provisional positive contribution</x:v>
      </x:c>
    </x:row>
    <x:row r="524">
      <x:c r="A524" s="14" t="str">
        <x:v>220gsm Cotton</x:v>
      </x:c>
      <x:c r="B524" s="14" t="n">
        <x:v>10</x:v>
      </x:c>
      <x:c r="C524" s="15" t="n">
        <x:v>599</x:v>
      </x:c>
      <x:c r="D524" s="15" t="n">
        <x:v>449</x:v>
      </x:c>
      <x:c r="E524" s="16" t="n">
        <x:v>0.2</x:v>
      </x:c>
      <x:c r="F524" s="15" t="n">
        <x:f>INDEX('Inputs'!$D$4:$D$6,MATCH(A524,'Inputs'!$A$4:$A$6,0))</x:f>
        <x:v>105</x:v>
      </x:c>
      <x:c r="G524" s="15" t="n">
        <x:f>INDEX('Inputs'!$E$4:$E$6,MATCH(A524,'Inputs'!$A$4:$A$6,0))</x:f>
        <x:v>85</x:v>
      </x:c>
      <x:c r="H524" s="15" t="n">
        <x:f>D524*(1-E524)</x:f>
        <x:v>359.20000000000005</x:v>
      </x:c>
      <x:c r="I524" s="15" t="n">
        <x:f>F524+G524</x:f>
        <x:v>190</x:v>
      </x:c>
      <x:c r="J524" s="15" t="n">
        <x:f>H524-I524</x:f>
        <x:v>169.20000000000005</x:v>
      </x:c>
      <x:c r="K524" s="16" t="n">
        <x:f>IFERROR(J524/H524,0)</x:f>
        <x:v>0.4710467706013364</x:v>
      </x:c>
      <x:c r="L524" s="14" t="str">
        <x:f>IF(J524&gt;0,"Provisional positive contribution","Not viable")</x:f>
        <x:v>Provisional positive contribution</x:v>
      </x:c>
    </x:row>
    <x:row r="525">
      <x:c r="A525" s="14" t="str">
        <x:v>220gsm Cotton</x:v>
      </x:c>
      <x:c r="B525" s="14" t="n">
        <x:v>10</x:v>
      </x:c>
      <x:c r="C525" s="15" t="n">
        <x:v>599</x:v>
      </x:c>
      <x:c r="D525" s="15" t="n">
        <x:v>449</x:v>
      </x:c>
      <x:c r="E525" s="16" t="n">
        <x:v>0.25</x:v>
      </x:c>
      <x:c r="F525" s="15" t="n">
        <x:f>INDEX('Inputs'!$D$4:$D$6,MATCH(A525,'Inputs'!$A$4:$A$6,0))</x:f>
        <x:v>105</x:v>
      </x:c>
      <x:c r="G525" s="15" t="n">
        <x:f>INDEX('Inputs'!$E$4:$E$6,MATCH(A525,'Inputs'!$A$4:$A$6,0))</x:f>
        <x:v>85</x:v>
      </x:c>
      <x:c r="H525" s="15" t="n">
        <x:f>D525*(1-E525)</x:f>
        <x:v>336.75</x:v>
      </x:c>
      <x:c r="I525" s="15" t="n">
        <x:f>F525+G525</x:f>
        <x:v>190</x:v>
      </x:c>
      <x:c r="J525" s="15" t="n">
        <x:f>H525-I525</x:f>
        <x:v>146.75</x:v>
      </x:c>
      <x:c r="K525" s="16" t="n">
        <x:f>IFERROR(J525/H525,0)</x:f>
        <x:v>0.4357832219747587</x:v>
      </x:c>
      <x:c r="L525" s="14" t="str">
        <x:f>IF(J525&gt;0,"Provisional positive contribution","Not viable")</x:f>
        <x:v>Provisional positive contribution</x:v>
      </x:c>
    </x:row>
    <x:row r="526">
      <x:c r="A526" s="14" t="str">
        <x:v>220gsm Cotton</x:v>
      </x:c>
      <x:c r="B526" s="14" t="n">
        <x:v>10</x:v>
      </x:c>
      <x:c r="C526" s="15" t="n">
        <x:v>599</x:v>
      </x:c>
      <x:c r="D526" s="15" t="n">
        <x:v>449</x:v>
      </x:c>
      <x:c r="E526" s="16" t="n">
        <x:v>0.3</x:v>
      </x:c>
      <x:c r="F526" s="15" t="n">
        <x:f>INDEX('Inputs'!$D$4:$D$6,MATCH(A526,'Inputs'!$A$4:$A$6,0))</x:f>
        <x:v>105</x:v>
      </x:c>
      <x:c r="G526" s="15" t="n">
        <x:f>INDEX('Inputs'!$E$4:$E$6,MATCH(A526,'Inputs'!$A$4:$A$6,0))</x:f>
        <x:v>85</x:v>
      </x:c>
      <x:c r="H526" s="15" t="n">
        <x:f>D526*(1-E526)</x:f>
        <x:v>314.29999999999995</x:v>
      </x:c>
      <x:c r="I526" s="15" t="n">
        <x:f>F526+G526</x:f>
        <x:v>190</x:v>
      </x:c>
      <x:c r="J526" s="15" t="n">
        <x:f>H526-I526</x:f>
        <x:v>124.29999999999995</x:v>
      </x:c>
      <x:c r="K526" s="16" t="n">
        <x:f>IFERROR(J526/H526,0)</x:f>
        <x:v>0.3954820235443843</x:v>
      </x:c>
      <x:c r="L526" s="14" t="str">
        <x:f>IF(J526&gt;0,"Provisional positive contribution","Not viable")</x:f>
        <x:v>Provisional positive contribution</x:v>
      </x:c>
    </x:row>
    <x:row r="527">
      <x:c r="A527" s="14" t="str">
        <x:v>220gsm Cotton</x:v>
      </x:c>
      <x:c r="B527" s="14" t="n">
        <x:v>10</x:v>
      </x:c>
      <x:c r="C527" s="15" t="n">
        <x:v>599</x:v>
      </x:c>
      <x:c r="D527" s="15" t="n">
        <x:v>449</x:v>
      </x:c>
      <x:c r="E527" s="16" t="n">
        <x:v>0.35</x:v>
      </x:c>
      <x:c r="F527" s="15" t="n">
        <x:f>INDEX('Inputs'!$D$4:$D$6,MATCH(A527,'Inputs'!$A$4:$A$6,0))</x:f>
        <x:v>105</x:v>
      </x:c>
      <x:c r="G527" s="15" t="n">
        <x:f>INDEX('Inputs'!$E$4:$E$6,MATCH(A527,'Inputs'!$A$4:$A$6,0))</x:f>
        <x:v>85</x:v>
      </x:c>
      <x:c r="H527" s="15" t="n">
        <x:f>D527*(1-E527)</x:f>
        <x:v>291.85</x:v>
      </x:c>
      <x:c r="I527" s="15" t="n">
        <x:f>F527+G527</x:f>
        <x:v>190</x:v>
      </x:c>
      <x:c r="J527" s="15" t="n">
        <x:f>H527-I527</x:f>
        <x:v>101.85000000000002</x:v>
      </x:c>
      <x:c r="K527" s="16" t="n">
        <x:f>IFERROR(J527/H527,0)</x:f>
        <x:v>0.34898064074010626</x:v>
      </x:c>
      <x:c r="L527" s="14" t="str">
        <x:f>IF(J527&gt;0,"Provisional positive contribution","Not viable")</x:f>
        <x:v>Provisional positive contribution</x:v>
      </x:c>
    </x:row>
    <x:row r="528">
      <x:c r="A528" s="14" t="str">
        <x:v>220gsm Cotton</x:v>
      </x:c>
      <x:c r="B528" s="14" t="n">
        <x:v>10</x:v>
      </x:c>
      <x:c r="C528" s="15" t="n">
        <x:v>599</x:v>
      </x:c>
      <x:c r="D528" s="15" t="n">
        <x:v>499</x:v>
      </x:c>
      <x:c r="E528" s="16" t="n">
        <x:v>0.2</x:v>
      </x:c>
      <x:c r="F528" s="15" t="n">
        <x:f>INDEX('Inputs'!$D$4:$D$6,MATCH(A528,'Inputs'!$A$4:$A$6,0))</x:f>
        <x:v>105</x:v>
      </x:c>
      <x:c r="G528" s="15" t="n">
        <x:f>INDEX('Inputs'!$E$4:$E$6,MATCH(A528,'Inputs'!$A$4:$A$6,0))</x:f>
        <x:v>85</x:v>
      </x:c>
      <x:c r="H528" s="15" t="n">
        <x:f>D528*(1-E528)</x:f>
        <x:v>399.20000000000005</x:v>
      </x:c>
      <x:c r="I528" s="15" t="n">
        <x:f>F528+G528</x:f>
        <x:v>190</x:v>
      </x:c>
      <x:c r="J528" s="15" t="n">
        <x:f>H528-I528</x:f>
        <x:v>209.20000000000005</x:v>
      </x:c>
      <x:c r="K528" s="16" t="n">
        <x:f>IFERROR(J528/H528,0)</x:f>
        <x:v>0.5240480961923848</x:v>
      </x:c>
      <x:c r="L528" s="14" t="str">
        <x:f>IF(J528&gt;0,"Provisional positive contribution","Not viable")</x:f>
        <x:v>Provisional positive contribution</x:v>
      </x:c>
    </x:row>
    <x:row r="529">
      <x:c r="A529" s="14" t="str">
        <x:v>220gsm Cotton</x:v>
      </x:c>
      <x:c r="B529" s="14" t="n">
        <x:v>10</x:v>
      </x:c>
      <x:c r="C529" s="15" t="n">
        <x:v>599</x:v>
      </x:c>
      <x:c r="D529" s="15" t="n">
        <x:v>499</x:v>
      </x:c>
      <x:c r="E529" s="16" t="n">
        <x:v>0.25</x:v>
      </x:c>
      <x:c r="F529" s="15" t="n">
        <x:f>INDEX('Inputs'!$D$4:$D$6,MATCH(A529,'Inputs'!$A$4:$A$6,0))</x:f>
        <x:v>105</x:v>
      </x:c>
      <x:c r="G529" s="15" t="n">
        <x:f>INDEX('Inputs'!$E$4:$E$6,MATCH(A529,'Inputs'!$A$4:$A$6,0))</x:f>
        <x:v>85</x:v>
      </x:c>
      <x:c r="H529" s="15" t="n">
        <x:f>D529*(1-E529)</x:f>
        <x:v>374.25</x:v>
      </x:c>
      <x:c r="I529" s="15" t="n">
        <x:f>F529+G529</x:f>
        <x:v>190</x:v>
      </x:c>
      <x:c r="J529" s="15" t="n">
        <x:f>H529-I529</x:f>
        <x:v>184.25</x:v>
      </x:c>
      <x:c r="K529" s="16" t="n">
        <x:f>IFERROR(J529/H529,0)</x:f>
        <x:v>0.4923179692718771</x:v>
      </x:c>
      <x:c r="L529" s="14" t="str">
        <x:f>IF(J529&gt;0,"Provisional positive contribution","Not viable")</x:f>
        <x:v>Provisional positive contribution</x:v>
      </x:c>
    </x:row>
    <x:row r="530">
      <x:c r="A530" s="14" t="str">
        <x:v>220gsm Cotton</x:v>
      </x:c>
      <x:c r="B530" s="14" t="n">
        <x:v>10</x:v>
      </x:c>
      <x:c r="C530" s="15" t="n">
        <x:v>599</x:v>
      </x:c>
      <x:c r="D530" s="15" t="n">
        <x:v>499</x:v>
      </x:c>
      <x:c r="E530" s="16" t="n">
        <x:v>0.3</x:v>
      </x:c>
      <x:c r="F530" s="15" t="n">
        <x:f>INDEX('Inputs'!$D$4:$D$6,MATCH(A530,'Inputs'!$A$4:$A$6,0))</x:f>
        <x:v>105</x:v>
      </x:c>
      <x:c r="G530" s="15" t="n">
        <x:f>INDEX('Inputs'!$E$4:$E$6,MATCH(A530,'Inputs'!$A$4:$A$6,0))</x:f>
        <x:v>85</x:v>
      </x:c>
      <x:c r="H530" s="15" t="n">
        <x:f>D530*(1-E530)</x:f>
        <x:v>349.29999999999995</x:v>
      </x:c>
      <x:c r="I530" s="15" t="n">
        <x:f>F530+G530</x:f>
        <x:v>190</x:v>
      </x:c>
      <x:c r="J530" s="15" t="n">
        <x:f>H530-I530</x:f>
        <x:v>159.29999999999995</x:v>
      </x:c>
      <x:c r="K530" s="16" t="n">
        <x:f>IFERROR(J530/H530,0)</x:f>
        <x:v>0.4560549670770111</x:v>
      </x:c>
      <x:c r="L530" s="14" t="str">
        <x:f>IF(J530&gt;0,"Provisional positive contribution","Not viable")</x:f>
        <x:v>Provisional positive contribution</x:v>
      </x:c>
    </x:row>
    <x:row r="531">
      <x:c r="A531" s="14" t="str">
        <x:v>220gsm Cotton</x:v>
      </x:c>
      <x:c r="B531" s="14" t="n">
        <x:v>10</x:v>
      </x:c>
      <x:c r="C531" s="15" t="n">
        <x:v>599</x:v>
      </x:c>
      <x:c r="D531" s="15" t="n">
        <x:v>499</x:v>
      </x:c>
      <x:c r="E531" s="16" t="n">
        <x:v>0.35</x:v>
      </x:c>
      <x:c r="F531" s="15" t="n">
        <x:f>INDEX('Inputs'!$D$4:$D$6,MATCH(A531,'Inputs'!$A$4:$A$6,0))</x:f>
        <x:v>105</x:v>
      </x:c>
      <x:c r="G531" s="15" t="n">
        <x:f>INDEX('Inputs'!$E$4:$E$6,MATCH(A531,'Inputs'!$A$4:$A$6,0))</x:f>
        <x:v>85</x:v>
      </x:c>
      <x:c r="H531" s="15" t="n">
        <x:f>D531*(1-E531)</x:f>
        <x:v>324.35</x:v>
      </x:c>
      <x:c r="I531" s="15" t="n">
        <x:f>F531+G531</x:f>
        <x:v>190</x:v>
      </x:c>
      <x:c r="J531" s="15" t="n">
        <x:f>H531-I531</x:f>
        <x:v>134.35000000000002</x:v>
      </x:c>
      <x:c r="K531" s="16" t="n">
        <x:f>IFERROR(J531/H531,0)</x:f>
        <x:v>0.4142130414675505</x:v>
      </x:c>
      <x:c r="L531" s="14" t="str">
        <x:f>IF(J531&gt;0,"Provisional positive contribution","Not viable")</x:f>
        <x:v>Provisional positive contribution</x:v>
      </x:c>
    </x:row>
    <x:row r="532">
      <x:c r="A532" s="14" t="str">
        <x:v>220gsm Cotton</x:v>
      </x:c>
      <x:c r="B532" s="14" t="n">
        <x:v>10</x:v>
      </x:c>
      <x:c r="C532" s="15" t="n">
        <x:v>649</x:v>
      </x:c>
      <x:c r="D532" s="15" t="n">
        <x:v>349</x:v>
      </x:c>
      <x:c r="E532" s="16" t="n">
        <x:v>0.2</x:v>
      </x:c>
      <x:c r="F532" s="15" t="n">
        <x:f>INDEX('Inputs'!$D$4:$D$6,MATCH(A532,'Inputs'!$A$4:$A$6,0))</x:f>
        <x:v>105</x:v>
      </x:c>
      <x:c r="G532" s="15" t="n">
        <x:f>INDEX('Inputs'!$E$4:$E$6,MATCH(A532,'Inputs'!$A$4:$A$6,0))</x:f>
        <x:v>85</x:v>
      </x:c>
      <x:c r="H532" s="15" t="n">
        <x:f>D532*(1-E532)</x:f>
        <x:v>279.2</x:v>
      </x:c>
      <x:c r="I532" s="15" t="n">
        <x:f>F532+G532</x:f>
        <x:v>190</x:v>
      </x:c>
      <x:c r="J532" s="15" t="n">
        <x:f>H532-I532</x:f>
        <x:v>89.19999999999999</x:v>
      </x:c>
      <x:c r="K532" s="16" t="n">
        <x:f>IFERROR(J532/H532,0)</x:f>
        <x:v>0.31948424068767906</x:v>
      </x:c>
      <x:c r="L532" s="14" t="str">
        <x:f>IF(J532&gt;0,"Provisional positive contribution","Not viable")</x:f>
        <x:v>Provisional positive contribution</x:v>
      </x:c>
    </x:row>
    <x:row r="533">
      <x:c r="A533" s="14" t="str">
        <x:v>220gsm Cotton</x:v>
      </x:c>
      <x:c r="B533" s="14" t="n">
        <x:v>10</x:v>
      </x:c>
      <x:c r="C533" s="15" t="n">
        <x:v>649</x:v>
      </x:c>
      <x:c r="D533" s="15" t="n">
        <x:v>349</x:v>
      </x:c>
      <x:c r="E533" s="16" t="n">
        <x:v>0.25</x:v>
      </x:c>
      <x:c r="F533" s="15" t="n">
        <x:f>INDEX('Inputs'!$D$4:$D$6,MATCH(A533,'Inputs'!$A$4:$A$6,0))</x:f>
        <x:v>105</x:v>
      </x:c>
      <x:c r="G533" s="15" t="n">
        <x:f>INDEX('Inputs'!$E$4:$E$6,MATCH(A533,'Inputs'!$A$4:$A$6,0))</x:f>
        <x:v>85</x:v>
      </x:c>
      <x:c r="H533" s="15" t="n">
        <x:f>D533*(1-E533)</x:f>
        <x:v>261.75</x:v>
      </x:c>
      <x:c r="I533" s="15" t="n">
        <x:f>F533+G533</x:f>
        <x:v>190</x:v>
      </x:c>
      <x:c r="J533" s="15" t="n">
        <x:f>H533-I533</x:f>
        <x:v>71.75</x:v>
      </x:c>
      <x:c r="K533" s="16" t="n">
        <x:f>IFERROR(J533/H533,0)</x:f>
        <x:v>0.27411652340019105</x:v>
      </x:c>
      <x:c r="L533" s="14" t="str">
        <x:f>IF(J533&gt;0,"Provisional positive contribution","Not viable")</x:f>
        <x:v>Provisional positive contribution</x:v>
      </x:c>
    </x:row>
    <x:row r="534">
      <x:c r="A534" s="14" t="str">
        <x:v>220gsm Cotton</x:v>
      </x:c>
      <x:c r="B534" s="14" t="n">
        <x:v>10</x:v>
      </x:c>
      <x:c r="C534" s="15" t="n">
        <x:v>649</x:v>
      </x:c>
      <x:c r="D534" s="15" t="n">
        <x:v>349</x:v>
      </x:c>
      <x:c r="E534" s="16" t="n">
        <x:v>0.3</x:v>
      </x:c>
      <x:c r="F534" s="15" t="n">
        <x:f>INDEX('Inputs'!$D$4:$D$6,MATCH(A534,'Inputs'!$A$4:$A$6,0))</x:f>
        <x:v>105</x:v>
      </x:c>
      <x:c r="G534" s="15" t="n">
        <x:f>INDEX('Inputs'!$E$4:$E$6,MATCH(A534,'Inputs'!$A$4:$A$6,0))</x:f>
        <x:v>85</x:v>
      </x:c>
      <x:c r="H534" s="15" t="n">
        <x:f>D534*(1-E534)</x:f>
        <x:v>244.29999999999998</x:v>
      </x:c>
      <x:c r="I534" s="15" t="n">
        <x:f>F534+G534</x:f>
        <x:v>190</x:v>
      </x:c>
      <x:c r="J534" s="15" t="n">
        <x:f>H534-I534</x:f>
        <x:v>54.29999999999998</x:v>
      </x:c>
      <x:c r="K534" s="16" t="n">
        <x:f>IFERROR(J534/H534,0)</x:f>
        <x:v>0.22226770364306175</x:v>
      </x:c>
      <x:c r="L534" s="14" t="str">
        <x:f>IF(J534&gt;0,"Provisional positive contribution","Not viable")</x:f>
        <x:v>Provisional positive contribution</x:v>
      </x:c>
    </x:row>
    <x:row r="535">
      <x:c r="A535" s="14" t="str">
        <x:v>220gsm Cotton</x:v>
      </x:c>
      <x:c r="B535" s="14" t="n">
        <x:v>10</x:v>
      </x:c>
      <x:c r="C535" s="15" t="n">
        <x:v>649</x:v>
      </x:c>
      <x:c r="D535" s="15" t="n">
        <x:v>349</x:v>
      </x:c>
      <x:c r="E535" s="16" t="n">
        <x:v>0.35</x:v>
      </x:c>
      <x:c r="F535" s="15" t="n">
        <x:f>INDEX('Inputs'!$D$4:$D$6,MATCH(A535,'Inputs'!$A$4:$A$6,0))</x:f>
        <x:v>105</x:v>
      </x:c>
      <x:c r="G535" s="15" t="n">
        <x:f>INDEX('Inputs'!$E$4:$E$6,MATCH(A535,'Inputs'!$A$4:$A$6,0))</x:f>
        <x:v>85</x:v>
      </x:c>
      <x:c r="H535" s="15" t="n">
        <x:f>D535*(1-E535)</x:f>
        <x:v>226.85</x:v>
      </x:c>
      <x:c r="I535" s="15" t="n">
        <x:f>F535+G535</x:f>
        <x:v>190</x:v>
      </x:c>
      <x:c r="J535" s="15" t="n">
        <x:f>H535-I535</x:f>
        <x:v>36.849999999999994</x:v>
      </x:c>
      <x:c r="K535" s="16" t="n">
        <x:f>IFERROR(J535/H535,0)</x:f>
        <x:v>0.16244214238483579</x:v>
      </x:c>
      <x:c r="L535" s="14" t="str">
        <x:f>IF(J535&gt;0,"Provisional positive contribution","Not viable")</x:f>
        <x:v>Provisional positive contribution</x:v>
      </x:c>
    </x:row>
    <x:row r="536">
      <x:c r="A536" s="14" t="str">
        <x:v>220gsm Cotton</x:v>
      </x:c>
      <x:c r="B536" s="14" t="n">
        <x:v>10</x:v>
      </x:c>
      <x:c r="C536" s="15" t="n">
        <x:v>649</x:v>
      </x:c>
      <x:c r="D536" s="15" t="n">
        <x:v>399</x:v>
      </x:c>
      <x:c r="E536" s="16" t="n">
        <x:v>0.2</x:v>
      </x:c>
      <x:c r="F536" s="15" t="n">
        <x:f>INDEX('Inputs'!$D$4:$D$6,MATCH(A536,'Inputs'!$A$4:$A$6,0))</x:f>
        <x:v>105</x:v>
      </x:c>
      <x:c r="G536" s="15" t="n">
        <x:f>INDEX('Inputs'!$E$4:$E$6,MATCH(A536,'Inputs'!$A$4:$A$6,0))</x:f>
        <x:v>85</x:v>
      </x:c>
      <x:c r="H536" s="15" t="n">
        <x:f>D536*(1-E536)</x:f>
        <x:v>319.20000000000005</x:v>
      </x:c>
      <x:c r="I536" s="15" t="n">
        <x:f>F536+G536</x:f>
        <x:v>190</x:v>
      </x:c>
      <x:c r="J536" s="15" t="n">
        <x:f>H536-I536</x:f>
        <x:v>129.20000000000005</x:v>
      </x:c>
      <x:c r="K536" s="16" t="n">
        <x:f>IFERROR(J536/H536,0)</x:f>
        <x:v>0.4047619047619048</x:v>
      </x:c>
      <x:c r="L536" s="14" t="str">
        <x:f>IF(J536&gt;0,"Provisional positive contribution","Not viable")</x:f>
        <x:v>Provisional positive contribution</x:v>
      </x:c>
    </x:row>
    <x:row r="537">
      <x:c r="A537" s="14" t="str">
        <x:v>220gsm Cotton</x:v>
      </x:c>
      <x:c r="B537" s="14" t="n">
        <x:v>10</x:v>
      </x:c>
      <x:c r="C537" s="15" t="n">
        <x:v>649</x:v>
      </x:c>
      <x:c r="D537" s="15" t="n">
        <x:v>399</x:v>
      </x:c>
      <x:c r="E537" s="16" t="n">
        <x:v>0.25</x:v>
      </x:c>
      <x:c r="F537" s="15" t="n">
        <x:f>INDEX('Inputs'!$D$4:$D$6,MATCH(A537,'Inputs'!$A$4:$A$6,0))</x:f>
        <x:v>105</x:v>
      </x:c>
      <x:c r="G537" s="15" t="n">
        <x:f>INDEX('Inputs'!$E$4:$E$6,MATCH(A537,'Inputs'!$A$4:$A$6,0))</x:f>
        <x:v>85</x:v>
      </x:c>
      <x:c r="H537" s="15" t="n">
        <x:f>D537*(1-E537)</x:f>
        <x:v>299.25</x:v>
      </x:c>
      <x:c r="I537" s="15" t="n">
        <x:f>F537+G537</x:f>
        <x:v>190</x:v>
      </x:c>
      <x:c r="J537" s="15" t="n">
        <x:f>H537-I537</x:f>
        <x:v>109.25</x:v>
      </x:c>
      <x:c r="K537" s="16" t="n">
        <x:f>IFERROR(J537/H537,0)</x:f>
        <x:v>0.36507936507936506</x:v>
      </x:c>
      <x:c r="L537" s="14" t="str">
        <x:f>IF(J537&gt;0,"Provisional positive contribution","Not viable")</x:f>
        <x:v>Provisional positive contribution</x:v>
      </x:c>
    </x:row>
    <x:row r="538">
      <x:c r="A538" s="14" t="str">
        <x:v>220gsm Cotton</x:v>
      </x:c>
      <x:c r="B538" s="14" t="n">
        <x:v>10</x:v>
      </x:c>
      <x:c r="C538" s="15" t="n">
        <x:v>649</x:v>
      </x:c>
      <x:c r="D538" s="15" t="n">
        <x:v>399</x:v>
      </x:c>
      <x:c r="E538" s="16" t="n">
        <x:v>0.3</x:v>
      </x:c>
      <x:c r="F538" s="15" t="n">
        <x:f>INDEX('Inputs'!$D$4:$D$6,MATCH(A538,'Inputs'!$A$4:$A$6,0))</x:f>
        <x:v>105</x:v>
      </x:c>
      <x:c r="G538" s="15" t="n">
        <x:f>INDEX('Inputs'!$E$4:$E$6,MATCH(A538,'Inputs'!$A$4:$A$6,0))</x:f>
        <x:v>85</x:v>
      </x:c>
      <x:c r="H538" s="15" t="n">
        <x:f>D538*(1-E538)</x:f>
        <x:v>279.29999999999995</x:v>
      </x:c>
      <x:c r="I538" s="15" t="n">
        <x:f>F538+G538</x:f>
        <x:v>190</x:v>
      </x:c>
      <x:c r="J538" s="15" t="n">
        <x:f>H538-I538</x:f>
        <x:v>89.29999999999995</x:v>
      </x:c>
      <x:c r="K538" s="16" t="n">
        <x:f>IFERROR(J538/H538,0)</x:f>
        <x:v>0.3197278911564625</x:v>
      </x:c>
      <x:c r="L538" s="14" t="str">
        <x:f>IF(J538&gt;0,"Provisional positive contribution","Not viable")</x:f>
        <x:v>Provisional positive contribution</x:v>
      </x:c>
    </x:row>
    <x:row r="539">
      <x:c r="A539" s="14" t="str">
        <x:v>220gsm Cotton</x:v>
      </x:c>
      <x:c r="B539" s="14" t="n">
        <x:v>10</x:v>
      </x:c>
      <x:c r="C539" s="15" t="n">
        <x:v>649</x:v>
      </x:c>
      <x:c r="D539" s="15" t="n">
        <x:v>399</x:v>
      </x:c>
      <x:c r="E539" s="16" t="n">
        <x:v>0.35</x:v>
      </x:c>
      <x:c r="F539" s="15" t="n">
        <x:f>INDEX('Inputs'!$D$4:$D$6,MATCH(A539,'Inputs'!$A$4:$A$6,0))</x:f>
        <x:v>105</x:v>
      </x:c>
      <x:c r="G539" s="15" t="n">
        <x:f>INDEX('Inputs'!$E$4:$E$6,MATCH(A539,'Inputs'!$A$4:$A$6,0))</x:f>
        <x:v>85</x:v>
      </x:c>
      <x:c r="H539" s="15" t="n">
        <x:f>D539*(1-E539)</x:f>
        <x:v>259.35</x:v>
      </x:c>
      <x:c r="I539" s="15" t="n">
        <x:f>F539+G539</x:f>
        <x:v>190</x:v>
      </x:c>
      <x:c r="J539" s="15" t="n">
        <x:f>H539-I539</x:f>
        <x:v>69.35000000000002</x:v>
      </x:c>
      <x:c r="K539" s="16" t="n">
        <x:f>IFERROR(J539/H539,0)</x:f>
        <x:v>0.26739926739926745</x:v>
      </x:c>
      <x:c r="L539" s="14" t="str">
        <x:f>IF(J539&gt;0,"Provisional positive contribution","Not viable")</x:f>
        <x:v>Provisional positive contribution</x:v>
      </x:c>
    </x:row>
    <x:row r="540">
      <x:c r="A540" s="14" t="str">
        <x:v>220gsm Cotton</x:v>
      </x:c>
      <x:c r="B540" s="14" t="n">
        <x:v>10</x:v>
      </x:c>
      <x:c r="C540" s="15" t="n">
        <x:v>649</x:v>
      </x:c>
      <x:c r="D540" s="15" t="n">
        <x:v>449</x:v>
      </x:c>
      <x:c r="E540" s="16" t="n">
        <x:v>0.2</x:v>
      </x:c>
      <x:c r="F540" s="15" t="n">
        <x:f>INDEX('Inputs'!$D$4:$D$6,MATCH(A540,'Inputs'!$A$4:$A$6,0))</x:f>
        <x:v>105</x:v>
      </x:c>
      <x:c r="G540" s="15" t="n">
        <x:f>INDEX('Inputs'!$E$4:$E$6,MATCH(A540,'Inputs'!$A$4:$A$6,0))</x:f>
        <x:v>85</x:v>
      </x:c>
      <x:c r="H540" s="15" t="n">
        <x:f>D540*(1-E540)</x:f>
        <x:v>359.20000000000005</x:v>
      </x:c>
      <x:c r="I540" s="15" t="n">
        <x:f>F540+G540</x:f>
        <x:v>190</x:v>
      </x:c>
      <x:c r="J540" s="15" t="n">
        <x:f>H540-I540</x:f>
        <x:v>169.20000000000005</x:v>
      </x:c>
      <x:c r="K540" s="16" t="n">
        <x:f>IFERROR(J540/H540,0)</x:f>
        <x:v>0.4710467706013364</x:v>
      </x:c>
      <x:c r="L540" s="14" t="str">
        <x:f>IF(J540&gt;0,"Provisional positive contribution","Not viable")</x:f>
        <x:v>Provisional positive contribution</x:v>
      </x:c>
    </x:row>
    <x:row r="541">
      <x:c r="A541" s="14" t="str">
        <x:v>220gsm Cotton</x:v>
      </x:c>
      <x:c r="B541" s="14" t="n">
        <x:v>10</x:v>
      </x:c>
      <x:c r="C541" s="15" t="n">
        <x:v>649</x:v>
      </x:c>
      <x:c r="D541" s="15" t="n">
        <x:v>449</x:v>
      </x:c>
      <x:c r="E541" s="16" t="n">
        <x:v>0.25</x:v>
      </x:c>
      <x:c r="F541" s="15" t="n">
        <x:f>INDEX('Inputs'!$D$4:$D$6,MATCH(A541,'Inputs'!$A$4:$A$6,0))</x:f>
        <x:v>105</x:v>
      </x:c>
      <x:c r="G541" s="15" t="n">
        <x:f>INDEX('Inputs'!$E$4:$E$6,MATCH(A541,'Inputs'!$A$4:$A$6,0))</x:f>
        <x:v>85</x:v>
      </x:c>
      <x:c r="H541" s="15" t="n">
        <x:f>D541*(1-E541)</x:f>
        <x:v>336.75</x:v>
      </x:c>
      <x:c r="I541" s="15" t="n">
        <x:f>F541+G541</x:f>
        <x:v>190</x:v>
      </x:c>
      <x:c r="J541" s="15" t="n">
        <x:f>H541-I541</x:f>
        <x:v>146.75</x:v>
      </x:c>
      <x:c r="K541" s="16" t="n">
        <x:f>IFERROR(J541/H541,0)</x:f>
        <x:v>0.4357832219747587</x:v>
      </x:c>
      <x:c r="L541" s="14" t="str">
        <x:f>IF(J541&gt;0,"Provisional positive contribution","Not viable")</x:f>
        <x:v>Provisional positive contribution</x:v>
      </x:c>
    </x:row>
    <x:row r="542">
      <x:c r="A542" s="14" t="str">
        <x:v>220gsm Cotton</x:v>
      </x:c>
      <x:c r="B542" s="14" t="n">
        <x:v>10</x:v>
      </x:c>
      <x:c r="C542" s="15" t="n">
        <x:v>649</x:v>
      </x:c>
      <x:c r="D542" s="15" t="n">
        <x:v>449</x:v>
      </x:c>
      <x:c r="E542" s="16" t="n">
        <x:v>0.3</x:v>
      </x:c>
      <x:c r="F542" s="15" t="n">
        <x:f>INDEX('Inputs'!$D$4:$D$6,MATCH(A542,'Inputs'!$A$4:$A$6,0))</x:f>
        <x:v>105</x:v>
      </x:c>
      <x:c r="G542" s="15" t="n">
        <x:f>INDEX('Inputs'!$E$4:$E$6,MATCH(A542,'Inputs'!$A$4:$A$6,0))</x:f>
        <x:v>85</x:v>
      </x:c>
      <x:c r="H542" s="15" t="n">
        <x:f>D542*(1-E542)</x:f>
        <x:v>314.29999999999995</x:v>
      </x:c>
      <x:c r="I542" s="15" t="n">
        <x:f>F542+G542</x:f>
        <x:v>190</x:v>
      </x:c>
      <x:c r="J542" s="15" t="n">
        <x:f>H542-I542</x:f>
        <x:v>124.29999999999995</x:v>
      </x:c>
      <x:c r="K542" s="16" t="n">
        <x:f>IFERROR(J542/H542,0)</x:f>
        <x:v>0.3954820235443843</x:v>
      </x:c>
      <x:c r="L542" s="14" t="str">
        <x:f>IF(J542&gt;0,"Provisional positive contribution","Not viable")</x:f>
        <x:v>Provisional positive contribution</x:v>
      </x:c>
    </x:row>
    <x:row r="543">
      <x:c r="A543" s="14" t="str">
        <x:v>220gsm Cotton</x:v>
      </x:c>
      <x:c r="B543" s="14" t="n">
        <x:v>10</x:v>
      </x:c>
      <x:c r="C543" s="15" t="n">
        <x:v>649</x:v>
      </x:c>
      <x:c r="D543" s="15" t="n">
        <x:v>449</x:v>
      </x:c>
      <x:c r="E543" s="16" t="n">
        <x:v>0.35</x:v>
      </x:c>
      <x:c r="F543" s="15" t="n">
        <x:f>INDEX('Inputs'!$D$4:$D$6,MATCH(A543,'Inputs'!$A$4:$A$6,0))</x:f>
        <x:v>105</x:v>
      </x:c>
      <x:c r="G543" s="15" t="n">
        <x:f>INDEX('Inputs'!$E$4:$E$6,MATCH(A543,'Inputs'!$A$4:$A$6,0))</x:f>
        <x:v>85</x:v>
      </x:c>
      <x:c r="H543" s="15" t="n">
        <x:f>D543*(1-E543)</x:f>
        <x:v>291.85</x:v>
      </x:c>
      <x:c r="I543" s="15" t="n">
        <x:f>F543+G543</x:f>
        <x:v>190</x:v>
      </x:c>
      <x:c r="J543" s="15" t="n">
        <x:f>H543-I543</x:f>
        <x:v>101.85000000000002</x:v>
      </x:c>
      <x:c r="K543" s="16" t="n">
        <x:f>IFERROR(J543/H543,0)</x:f>
        <x:v>0.34898064074010626</x:v>
      </x:c>
      <x:c r="L543" s="14" t="str">
        <x:f>IF(J543&gt;0,"Provisional positive contribution","Not viable")</x:f>
        <x:v>Provisional positive contribution</x:v>
      </x:c>
    </x:row>
    <x:row r="544">
      <x:c r="A544" s="14" t="str">
        <x:v>220gsm Cotton</x:v>
      </x:c>
      <x:c r="B544" s="14" t="n">
        <x:v>10</x:v>
      </x:c>
      <x:c r="C544" s="15" t="n">
        <x:v>649</x:v>
      </x:c>
      <x:c r="D544" s="15" t="n">
        <x:v>499</x:v>
      </x:c>
      <x:c r="E544" s="16" t="n">
        <x:v>0.2</x:v>
      </x:c>
      <x:c r="F544" s="15" t="n">
        <x:f>INDEX('Inputs'!$D$4:$D$6,MATCH(A544,'Inputs'!$A$4:$A$6,0))</x:f>
        <x:v>105</x:v>
      </x:c>
      <x:c r="G544" s="15" t="n">
        <x:f>INDEX('Inputs'!$E$4:$E$6,MATCH(A544,'Inputs'!$A$4:$A$6,0))</x:f>
        <x:v>85</x:v>
      </x:c>
      <x:c r="H544" s="15" t="n">
        <x:f>D544*(1-E544)</x:f>
        <x:v>399.20000000000005</x:v>
      </x:c>
      <x:c r="I544" s="15" t="n">
        <x:f>F544+G544</x:f>
        <x:v>190</x:v>
      </x:c>
      <x:c r="J544" s="15" t="n">
        <x:f>H544-I544</x:f>
        <x:v>209.20000000000005</x:v>
      </x:c>
      <x:c r="K544" s="16" t="n">
        <x:f>IFERROR(J544/H544,0)</x:f>
        <x:v>0.5240480961923848</x:v>
      </x:c>
      <x:c r="L544" s="14" t="str">
        <x:f>IF(J544&gt;0,"Provisional positive contribution","Not viable")</x:f>
        <x:v>Provisional positive contribution</x:v>
      </x:c>
    </x:row>
    <x:row r="545">
      <x:c r="A545" s="14" t="str">
        <x:v>220gsm Cotton</x:v>
      </x:c>
      <x:c r="B545" s="14" t="n">
        <x:v>10</x:v>
      </x:c>
      <x:c r="C545" s="15" t="n">
        <x:v>649</x:v>
      </x:c>
      <x:c r="D545" s="15" t="n">
        <x:v>499</x:v>
      </x:c>
      <x:c r="E545" s="16" t="n">
        <x:v>0.25</x:v>
      </x:c>
      <x:c r="F545" s="15" t="n">
        <x:f>INDEX('Inputs'!$D$4:$D$6,MATCH(A545,'Inputs'!$A$4:$A$6,0))</x:f>
        <x:v>105</x:v>
      </x:c>
      <x:c r="G545" s="15" t="n">
        <x:f>INDEX('Inputs'!$E$4:$E$6,MATCH(A545,'Inputs'!$A$4:$A$6,0))</x:f>
        <x:v>85</x:v>
      </x:c>
      <x:c r="H545" s="15" t="n">
        <x:f>D545*(1-E545)</x:f>
        <x:v>374.25</x:v>
      </x:c>
      <x:c r="I545" s="15" t="n">
        <x:f>F545+G545</x:f>
        <x:v>190</x:v>
      </x:c>
      <x:c r="J545" s="15" t="n">
        <x:f>H545-I545</x:f>
        <x:v>184.25</x:v>
      </x:c>
      <x:c r="K545" s="16" t="n">
        <x:f>IFERROR(J545/H545,0)</x:f>
        <x:v>0.4923179692718771</x:v>
      </x:c>
      <x:c r="L545" s="14" t="str">
        <x:f>IF(J545&gt;0,"Provisional positive contribution","Not viable")</x:f>
        <x:v>Provisional positive contribution</x:v>
      </x:c>
    </x:row>
    <x:row r="546">
      <x:c r="A546" s="14" t="str">
        <x:v>220gsm Cotton</x:v>
      </x:c>
      <x:c r="B546" s="14" t="n">
        <x:v>10</x:v>
      </x:c>
      <x:c r="C546" s="15" t="n">
        <x:v>649</x:v>
      </x:c>
      <x:c r="D546" s="15" t="n">
        <x:v>499</x:v>
      </x:c>
      <x:c r="E546" s="16" t="n">
        <x:v>0.3</x:v>
      </x:c>
      <x:c r="F546" s="15" t="n">
        <x:f>INDEX('Inputs'!$D$4:$D$6,MATCH(A546,'Inputs'!$A$4:$A$6,0))</x:f>
        <x:v>105</x:v>
      </x:c>
      <x:c r="G546" s="15" t="n">
        <x:f>INDEX('Inputs'!$E$4:$E$6,MATCH(A546,'Inputs'!$A$4:$A$6,0))</x:f>
        <x:v>85</x:v>
      </x:c>
      <x:c r="H546" s="15" t="n">
        <x:f>D546*(1-E546)</x:f>
        <x:v>349.29999999999995</x:v>
      </x:c>
      <x:c r="I546" s="15" t="n">
        <x:f>F546+G546</x:f>
        <x:v>190</x:v>
      </x:c>
      <x:c r="J546" s="15" t="n">
        <x:f>H546-I546</x:f>
        <x:v>159.29999999999995</x:v>
      </x:c>
      <x:c r="K546" s="16" t="n">
        <x:f>IFERROR(J546/H546,0)</x:f>
        <x:v>0.4560549670770111</x:v>
      </x:c>
      <x:c r="L546" s="14" t="str">
        <x:f>IF(J546&gt;0,"Provisional positive contribution","Not viable")</x:f>
        <x:v>Provisional positive contribution</x:v>
      </x:c>
    </x:row>
    <x:row r="547">
      <x:c r="A547" s="14" t="str">
        <x:v>220gsm Cotton</x:v>
      </x:c>
      <x:c r="B547" s="14" t="n">
        <x:v>10</x:v>
      </x:c>
      <x:c r="C547" s="15" t="n">
        <x:v>649</x:v>
      </x:c>
      <x:c r="D547" s="15" t="n">
        <x:v>499</x:v>
      </x:c>
      <x:c r="E547" s="16" t="n">
        <x:v>0.35</x:v>
      </x:c>
      <x:c r="F547" s="15" t="n">
        <x:f>INDEX('Inputs'!$D$4:$D$6,MATCH(A547,'Inputs'!$A$4:$A$6,0))</x:f>
        <x:v>105</x:v>
      </x:c>
      <x:c r="G547" s="15" t="n">
        <x:f>INDEX('Inputs'!$E$4:$E$6,MATCH(A547,'Inputs'!$A$4:$A$6,0))</x:f>
        <x:v>85</x:v>
      </x:c>
      <x:c r="H547" s="15" t="n">
        <x:f>D547*(1-E547)</x:f>
        <x:v>324.35</x:v>
      </x:c>
      <x:c r="I547" s="15" t="n">
        <x:f>F547+G547</x:f>
        <x:v>190</x:v>
      </x:c>
      <x:c r="J547" s="15" t="n">
        <x:f>H547-I547</x:f>
        <x:v>134.35000000000002</x:v>
      </x:c>
      <x:c r="K547" s="16" t="n">
        <x:f>IFERROR(J547/H547,0)</x:f>
        <x:v>0.4142130414675505</x:v>
      </x:c>
      <x:c r="L547" s="14" t="str">
        <x:f>IF(J547&gt;0,"Provisional positive contribution","Not viable")</x:f>
        <x:v>Provisional positive contribution</x:v>
      </x:c>
    </x:row>
    <x:row r="548">
      <x:c r="A548" s="14" t="str">
        <x:v>220gsm Cotton</x:v>
      </x:c>
      <x:c r="B548" s="14" t="n">
        <x:v>10</x:v>
      </x:c>
      <x:c r="C548" s="15" t="n">
        <x:v>699</x:v>
      </x:c>
      <x:c r="D548" s="15" t="n">
        <x:v>349</x:v>
      </x:c>
      <x:c r="E548" s="16" t="n">
        <x:v>0.2</x:v>
      </x:c>
      <x:c r="F548" s="15" t="n">
        <x:f>INDEX('Inputs'!$D$4:$D$6,MATCH(A548,'Inputs'!$A$4:$A$6,0))</x:f>
        <x:v>105</x:v>
      </x:c>
      <x:c r="G548" s="15" t="n">
        <x:f>INDEX('Inputs'!$E$4:$E$6,MATCH(A548,'Inputs'!$A$4:$A$6,0))</x:f>
        <x:v>85</x:v>
      </x:c>
      <x:c r="H548" s="15" t="n">
        <x:f>D548*(1-E548)</x:f>
        <x:v>279.2</x:v>
      </x:c>
      <x:c r="I548" s="15" t="n">
        <x:f>F548+G548</x:f>
        <x:v>190</x:v>
      </x:c>
      <x:c r="J548" s="15" t="n">
        <x:f>H548-I548</x:f>
        <x:v>89.19999999999999</x:v>
      </x:c>
      <x:c r="K548" s="16" t="n">
        <x:f>IFERROR(J548/H548,0)</x:f>
        <x:v>0.31948424068767906</x:v>
      </x:c>
      <x:c r="L548" s="14" t="str">
        <x:f>IF(J548&gt;0,"Provisional positive contribution","Not viable")</x:f>
        <x:v>Provisional positive contribution</x:v>
      </x:c>
    </x:row>
    <x:row r="549">
      <x:c r="A549" s="14" t="str">
        <x:v>220gsm Cotton</x:v>
      </x:c>
      <x:c r="B549" s="14" t="n">
        <x:v>10</x:v>
      </x:c>
      <x:c r="C549" s="15" t="n">
        <x:v>699</x:v>
      </x:c>
      <x:c r="D549" s="15" t="n">
        <x:v>349</x:v>
      </x:c>
      <x:c r="E549" s="16" t="n">
        <x:v>0.25</x:v>
      </x:c>
      <x:c r="F549" s="15" t="n">
        <x:f>INDEX('Inputs'!$D$4:$D$6,MATCH(A549,'Inputs'!$A$4:$A$6,0))</x:f>
        <x:v>105</x:v>
      </x:c>
      <x:c r="G549" s="15" t="n">
        <x:f>INDEX('Inputs'!$E$4:$E$6,MATCH(A549,'Inputs'!$A$4:$A$6,0))</x:f>
        <x:v>85</x:v>
      </x:c>
      <x:c r="H549" s="15" t="n">
        <x:f>D549*(1-E549)</x:f>
        <x:v>261.75</x:v>
      </x:c>
      <x:c r="I549" s="15" t="n">
        <x:f>F549+G549</x:f>
        <x:v>190</x:v>
      </x:c>
      <x:c r="J549" s="15" t="n">
        <x:f>H549-I549</x:f>
        <x:v>71.75</x:v>
      </x:c>
      <x:c r="K549" s="16" t="n">
        <x:f>IFERROR(J549/H549,0)</x:f>
        <x:v>0.27411652340019105</x:v>
      </x:c>
      <x:c r="L549" s="14" t="str">
        <x:f>IF(J549&gt;0,"Provisional positive contribution","Not viable")</x:f>
        <x:v>Provisional positive contribution</x:v>
      </x:c>
    </x:row>
    <x:row r="550">
      <x:c r="A550" s="14" t="str">
        <x:v>220gsm Cotton</x:v>
      </x:c>
      <x:c r="B550" s="14" t="n">
        <x:v>10</x:v>
      </x:c>
      <x:c r="C550" s="15" t="n">
        <x:v>699</x:v>
      </x:c>
      <x:c r="D550" s="15" t="n">
        <x:v>349</x:v>
      </x:c>
      <x:c r="E550" s="16" t="n">
        <x:v>0.3</x:v>
      </x:c>
      <x:c r="F550" s="15" t="n">
        <x:f>INDEX('Inputs'!$D$4:$D$6,MATCH(A550,'Inputs'!$A$4:$A$6,0))</x:f>
        <x:v>105</x:v>
      </x:c>
      <x:c r="G550" s="15" t="n">
        <x:f>INDEX('Inputs'!$E$4:$E$6,MATCH(A550,'Inputs'!$A$4:$A$6,0))</x:f>
        <x:v>85</x:v>
      </x:c>
      <x:c r="H550" s="15" t="n">
        <x:f>D550*(1-E550)</x:f>
        <x:v>244.29999999999998</x:v>
      </x:c>
      <x:c r="I550" s="15" t="n">
        <x:f>F550+G550</x:f>
        <x:v>190</x:v>
      </x:c>
      <x:c r="J550" s="15" t="n">
        <x:f>H550-I550</x:f>
        <x:v>54.29999999999998</x:v>
      </x:c>
      <x:c r="K550" s="16" t="n">
        <x:f>IFERROR(J550/H550,0)</x:f>
        <x:v>0.22226770364306175</x:v>
      </x:c>
      <x:c r="L550" s="14" t="str">
        <x:f>IF(J550&gt;0,"Provisional positive contribution","Not viable")</x:f>
        <x:v>Provisional positive contribution</x:v>
      </x:c>
    </x:row>
    <x:row r="551">
      <x:c r="A551" s="14" t="str">
        <x:v>220gsm Cotton</x:v>
      </x:c>
      <x:c r="B551" s="14" t="n">
        <x:v>10</x:v>
      </x:c>
      <x:c r="C551" s="15" t="n">
        <x:v>699</x:v>
      </x:c>
      <x:c r="D551" s="15" t="n">
        <x:v>349</x:v>
      </x:c>
      <x:c r="E551" s="16" t="n">
        <x:v>0.35</x:v>
      </x:c>
      <x:c r="F551" s="15" t="n">
        <x:f>INDEX('Inputs'!$D$4:$D$6,MATCH(A551,'Inputs'!$A$4:$A$6,0))</x:f>
        <x:v>105</x:v>
      </x:c>
      <x:c r="G551" s="15" t="n">
        <x:f>INDEX('Inputs'!$E$4:$E$6,MATCH(A551,'Inputs'!$A$4:$A$6,0))</x:f>
        <x:v>85</x:v>
      </x:c>
      <x:c r="H551" s="15" t="n">
        <x:f>D551*(1-E551)</x:f>
        <x:v>226.85</x:v>
      </x:c>
      <x:c r="I551" s="15" t="n">
        <x:f>F551+G551</x:f>
        <x:v>190</x:v>
      </x:c>
      <x:c r="J551" s="15" t="n">
        <x:f>H551-I551</x:f>
        <x:v>36.849999999999994</x:v>
      </x:c>
      <x:c r="K551" s="16" t="n">
        <x:f>IFERROR(J551/H551,0)</x:f>
        <x:v>0.16244214238483579</x:v>
      </x:c>
      <x:c r="L551" s="14" t="str">
        <x:f>IF(J551&gt;0,"Provisional positive contribution","Not viable")</x:f>
        <x:v>Provisional positive contribution</x:v>
      </x:c>
    </x:row>
    <x:row r="552">
      <x:c r="A552" s="14" t="str">
        <x:v>220gsm Cotton</x:v>
      </x:c>
      <x:c r="B552" s="14" t="n">
        <x:v>10</x:v>
      </x:c>
      <x:c r="C552" s="15" t="n">
        <x:v>699</x:v>
      </x:c>
      <x:c r="D552" s="15" t="n">
        <x:v>399</x:v>
      </x:c>
      <x:c r="E552" s="16" t="n">
        <x:v>0.2</x:v>
      </x:c>
      <x:c r="F552" s="15" t="n">
        <x:f>INDEX('Inputs'!$D$4:$D$6,MATCH(A552,'Inputs'!$A$4:$A$6,0))</x:f>
        <x:v>105</x:v>
      </x:c>
      <x:c r="G552" s="15" t="n">
        <x:f>INDEX('Inputs'!$E$4:$E$6,MATCH(A552,'Inputs'!$A$4:$A$6,0))</x:f>
        <x:v>85</x:v>
      </x:c>
      <x:c r="H552" s="15" t="n">
        <x:f>D552*(1-E552)</x:f>
        <x:v>319.20000000000005</x:v>
      </x:c>
      <x:c r="I552" s="15" t="n">
        <x:f>F552+G552</x:f>
        <x:v>190</x:v>
      </x:c>
      <x:c r="J552" s="15" t="n">
        <x:f>H552-I552</x:f>
        <x:v>129.20000000000005</x:v>
      </x:c>
      <x:c r="K552" s="16" t="n">
        <x:f>IFERROR(J552/H552,0)</x:f>
        <x:v>0.4047619047619048</x:v>
      </x:c>
      <x:c r="L552" s="14" t="str">
        <x:f>IF(J552&gt;0,"Provisional positive contribution","Not viable")</x:f>
        <x:v>Provisional positive contribution</x:v>
      </x:c>
    </x:row>
    <x:row r="553">
      <x:c r="A553" s="14" t="str">
        <x:v>220gsm Cotton</x:v>
      </x:c>
      <x:c r="B553" s="14" t="n">
        <x:v>10</x:v>
      </x:c>
      <x:c r="C553" s="15" t="n">
        <x:v>699</x:v>
      </x:c>
      <x:c r="D553" s="15" t="n">
        <x:v>399</x:v>
      </x:c>
      <x:c r="E553" s="16" t="n">
        <x:v>0.25</x:v>
      </x:c>
      <x:c r="F553" s="15" t="n">
        <x:f>INDEX('Inputs'!$D$4:$D$6,MATCH(A553,'Inputs'!$A$4:$A$6,0))</x:f>
        <x:v>105</x:v>
      </x:c>
      <x:c r="G553" s="15" t="n">
        <x:f>INDEX('Inputs'!$E$4:$E$6,MATCH(A553,'Inputs'!$A$4:$A$6,0))</x:f>
        <x:v>85</x:v>
      </x:c>
      <x:c r="H553" s="15" t="n">
        <x:f>D553*(1-E553)</x:f>
        <x:v>299.25</x:v>
      </x:c>
      <x:c r="I553" s="15" t="n">
        <x:f>F553+G553</x:f>
        <x:v>190</x:v>
      </x:c>
      <x:c r="J553" s="15" t="n">
        <x:f>H553-I553</x:f>
        <x:v>109.25</x:v>
      </x:c>
      <x:c r="K553" s="16" t="n">
        <x:f>IFERROR(J553/H553,0)</x:f>
        <x:v>0.36507936507936506</x:v>
      </x:c>
      <x:c r="L553" s="14" t="str">
        <x:f>IF(J553&gt;0,"Provisional positive contribution","Not viable")</x:f>
        <x:v>Provisional positive contribution</x:v>
      </x:c>
    </x:row>
    <x:row r="554">
      <x:c r="A554" s="14" t="str">
        <x:v>220gsm Cotton</x:v>
      </x:c>
      <x:c r="B554" s="14" t="n">
        <x:v>10</x:v>
      </x:c>
      <x:c r="C554" s="15" t="n">
        <x:v>699</x:v>
      </x:c>
      <x:c r="D554" s="15" t="n">
        <x:v>399</x:v>
      </x:c>
      <x:c r="E554" s="16" t="n">
        <x:v>0.3</x:v>
      </x:c>
      <x:c r="F554" s="15" t="n">
        <x:f>INDEX('Inputs'!$D$4:$D$6,MATCH(A554,'Inputs'!$A$4:$A$6,0))</x:f>
        <x:v>105</x:v>
      </x:c>
      <x:c r="G554" s="15" t="n">
        <x:f>INDEX('Inputs'!$E$4:$E$6,MATCH(A554,'Inputs'!$A$4:$A$6,0))</x:f>
        <x:v>85</x:v>
      </x:c>
      <x:c r="H554" s="15" t="n">
        <x:f>D554*(1-E554)</x:f>
        <x:v>279.29999999999995</x:v>
      </x:c>
      <x:c r="I554" s="15" t="n">
        <x:f>F554+G554</x:f>
        <x:v>190</x:v>
      </x:c>
      <x:c r="J554" s="15" t="n">
        <x:f>H554-I554</x:f>
        <x:v>89.29999999999995</x:v>
      </x:c>
      <x:c r="K554" s="16" t="n">
        <x:f>IFERROR(J554/H554,0)</x:f>
        <x:v>0.3197278911564625</x:v>
      </x:c>
      <x:c r="L554" s="14" t="str">
        <x:f>IF(J554&gt;0,"Provisional positive contribution","Not viable")</x:f>
        <x:v>Provisional positive contribution</x:v>
      </x:c>
    </x:row>
    <x:row r="555">
      <x:c r="A555" s="14" t="str">
        <x:v>220gsm Cotton</x:v>
      </x:c>
      <x:c r="B555" s="14" t="n">
        <x:v>10</x:v>
      </x:c>
      <x:c r="C555" s="15" t="n">
        <x:v>699</x:v>
      </x:c>
      <x:c r="D555" s="15" t="n">
        <x:v>399</x:v>
      </x:c>
      <x:c r="E555" s="16" t="n">
        <x:v>0.35</x:v>
      </x:c>
      <x:c r="F555" s="15" t="n">
        <x:f>INDEX('Inputs'!$D$4:$D$6,MATCH(A555,'Inputs'!$A$4:$A$6,0))</x:f>
        <x:v>105</x:v>
      </x:c>
      <x:c r="G555" s="15" t="n">
        <x:f>INDEX('Inputs'!$E$4:$E$6,MATCH(A555,'Inputs'!$A$4:$A$6,0))</x:f>
        <x:v>85</x:v>
      </x:c>
      <x:c r="H555" s="15" t="n">
        <x:f>D555*(1-E555)</x:f>
        <x:v>259.35</x:v>
      </x:c>
      <x:c r="I555" s="15" t="n">
        <x:f>F555+G555</x:f>
        <x:v>190</x:v>
      </x:c>
      <x:c r="J555" s="15" t="n">
        <x:f>H555-I555</x:f>
        <x:v>69.35000000000002</x:v>
      </x:c>
      <x:c r="K555" s="16" t="n">
        <x:f>IFERROR(J555/H555,0)</x:f>
        <x:v>0.26739926739926745</x:v>
      </x:c>
      <x:c r="L555" s="14" t="str">
        <x:f>IF(J555&gt;0,"Provisional positive contribution","Not viable")</x:f>
        <x:v>Provisional positive contribution</x:v>
      </x:c>
    </x:row>
    <x:row r="556">
      <x:c r="A556" s="14" t="str">
        <x:v>220gsm Cotton</x:v>
      </x:c>
      <x:c r="B556" s="14" t="n">
        <x:v>10</x:v>
      </x:c>
      <x:c r="C556" s="15" t="n">
        <x:v>699</x:v>
      </x:c>
      <x:c r="D556" s="15" t="n">
        <x:v>449</x:v>
      </x:c>
      <x:c r="E556" s="16" t="n">
        <x:v>0.2</x:v>
      </x:c>
      <x:c r="F556" s="15" t="n">
        <x:f>INDEX('Inputs'!$D$4:$D$6,MATCH(A556,'Inputs'!$A$4:$A$6,0))</x:f>
        <x:v>105</x:v>
      </x:c>
      <x:c r="G556" s="15" t="n">
        <x:f>INDEX('Inputs'!$E$4:$E$6,MATCH(A556,'Inputs'!$A$4:$A$6,0))</x:f>
        <x:v>85</x:v>
      </x:c>
      <x:c r="H556" s="15" t="n">
        <x:f>D556*(1-E556)</x:f>
        <x:v>359.20000000000005</x:v>
      </x:c>
      <x:c r="I556" s="15" t="n">
        <x:f>F556+G556</x:f>
        <x:v>190</x:v>
      </x:c>
      <x:c r="J556" s="15" t="n">
        <x:f>H556-I556</x:f>
        <x:v>169.20000000000005</x:v>
      </x:c>
      <x:c r="K556" s="16" t="n">
        <x:f>IFERROR(J556/H556,0)</x:f>
        <x:v>0.4710467706013364</x:v>
      </x:c>
      <x:c r="L556" s="14" t="str">
        <x:f>IF(J556&gt;0,"Provisional positive contribution","Not viable")</x:f>
        <x:v>Provisional positive contribution</x:v>
      </x:c>
    </x:row>
    <x:row r="557">
      <x:c r="A557" s="14" t="str">
        <x:v>220gsm Cotton</x:v>
      </x:c>
      <x:c r="B557" s="14" t="n">
        <x:v>10</x:v>
      </x:c>
      <x:c r="C557" s="15" t="n">
        <x:v>699</x:v>
      </x:c>
      <x:c r="D557" s="15" t="n">
        <x:v>449</x:v>
      </x:c>
      <x:c r="E557" s="16" t="n">
        <x:v>0.25</x:v>
      </x:c>
      <x:c r="F557" s="15" t="n">
        <x:f>INDEX('Inputs'!$D$4:$D$6,MATCH(A557,'Inputs'!$A$4:$A$6,0))</x:f>
        <x:v>105</x:v>
      </x:c>
      <x:c r="G557" s="15" t="n">
        <x:f>INDEX('Inputs'!$E$4:$E$6,MATCH(A557,'Inputs'!$A$4:$A$6,0))</x:f>
        <x:v>85</x:v>
      </x:c>
      <x:c r="H557" s="15" t="n">
        <x:f>D557*(1-E557)</x:f>
        <x:v>336.75</x:v>
      </x:c>
      <x:c r="I557" s="15" t="n">
        <x:f>F557+G557</x:f>
        <x:v>190</x:v>
      </x:c>
      <x:c r="J557" s="15" t="n">
        <x:f>H557-I557</x:f>
        <x:v>146.75</x:v>
      </x:c>
      <x:c r="K557" s="16" t="n">
        <x:f>IFERROR(J557/H557,0)</x:f>
        <x:v>0.4357832219747587</x:v>
      </x:c>
      <x:c r="L557" s="14" t="str">
        <x:f>IF(J557&gt;0,"Provisional positive contribution","Not viable")</x:f>
        <x:v>Provisional positive contribution</x:v>
      </x:c>
    </x:row>
    <x:row r="558">
      <x:c r="A558" s="14" t="str">
        <x:v>220gsm Cotton</x:v>
      </x:c>
      <x:c r="B558" s="14" t="n">
        <x:v>10</x:v>
      </x:c>
      <x:c r="C558" s="15" t="n">
        <x:v>699</x:v>
      </x:c>
      <x:c r="D558" s="15" t="n">
        <x:v>449</x:v>
      </x:c>
      <x:c r="E558" s="16" t="n">
        <x:v>0.3</x:v>
      </x:c>
      <x:c r="F558" s="15" t="n">
        <x:f>INDEX('Inputs'!$D$4:$D$6,MATCH(A558,'Inputs'!$A$4:$A$6,0))</x:f>
        <x:v>105</x:v>
      </x:c>
      <x:c r="G558" s="15" t="n">
        <x:f>INDEX('Inputs'!$E$4:$E$6,MATCH(A558,'Inputs'!$A$4:$A$6,0))</x:f>
        <x:v>85</x:v>
      </x:c>
      <x:c r="H558" s="15" t="n">
        <x:f>D558*(1-E558)</x:f>
        <x:v>314.29999999999995</x:v>
      </x:c>
      <x:c r="I558" s="15" t="n">
        <x:f>F558+G558</x:f>
        <x:v>190</x:v>
      </x:c>
      <x:c r="J558" s="15" t="n">
        <x:f>H558-I558</x:f>
        <x:v>124.29999999999995</x:v>
      </x:c>
      <x:c r="K558" s="16" t="n">
        <x:f>IFERROR(J558/H558,0)</x:f>
        <x:v>0.3954820235443843</x:v>
      </x:c>
      <x:c r="L558" s="14" t="str">
        <x:f>IF(J558&gt;0,"Provisional positive contribution","Not viable")</x:f>
        <x:v>Provisional positive contribution</x:v>
      </x:c>
    </x:row>
    <x:row r="559">
      <x:c r="A559" s="14" t="str">
        <x:v>220gsm Cotton</x:v>
      </x:c>
      <x:c r="B559" s="14" t="n">
        <x:v>10</x:v>
      </x:c>
      <x:c r="C559" s="15" t="n">
        <x:v>699</x:v>
      </x:c>
      <x:c r="D559" s="15" t="n">
        <x:v>449</x:v>
      </x:c>
      <x:c r="E559" s="16" t="n">
        <x:v>0.35</x:v>
      </x:c>
      <x:c r="F559" s="15" t="n">
        <x:f>INDEX('Inputs'!$D$4:$D$6,MATCH(A559,'Inputs'!$A$4:$A$6,0))</x:f>
        <x:v>105</x:v>
      </x:c>
      <x:c r="G559" s="15" t="n">
        <x:f>INDEX('Inputs'!$E$4:$E$6,MATCH(A559,'Inputs'!$A$4:$A$6,0))</x:f>
        <x:v>85</x:v>
      </x:c>
      <x:c r="H559" s="15" t="n">
        <x:f>D559*(1-E559)</x:f>
        <x:v>291.85</x:v>
      </x:c>
      <x:c r="I559" s="15" t="n">
        <x:f>F559+G559</x:f>
        <x:v>190</x:v>
      </x:c>
      <x:c r="J559" s="15" t="n">
        <x:f>H559-I559</x:f>
        <x:v>101.85000000000002</x:v>
      </x:c>
      <x:c r="K559" s="16" t="n">
        <x:f>IFERROR(J559/H559,0)</x:f>
        <x:v>0.34898064074010626</x:v>
      </x:c>
      <x:c r="L559" s="14" t="str">
        <x:f>IF(J559&gt;0,"Provisional positive contribution","Not viable")</x:f>
        <x:v>Provisional positive contribution</x:v>
      </x:c>
    </x:row>
    <x:row r="560">
      <x:c r="A560" s="14" t="str">
        <x:v>220gsm Cotton</x:v>
      </x:c>
      <x:c r="B560" s="14" t="n">
        <x:v>10</x:v>
      </x:c>
      <x:c r="C560" s="15" t="n">
        <x:v>699</x:v>
      </x:c>
      <x:c r="D560" s="15" t="n">
        <x:v>499</x:v>
      </x:c>
      <x:c r="E560" s="16" t="n">
        <x:v>0.2</x:v>
      </x:c>
      <x:c r="F560" s="15" t="n">
        <x:f>INDEX('Inputs'!$D$4:$D$6,MATCH(A560,'Inputs'!$A$4:$A$6,0))</x:f>
        <x:v>105</x:v>
      </x:c>
      <x:c r="G560" s="15" t="n">
        <x:f>INDEX('Inputs'!$E$4:$E$6,MATCH(A560,'Inputs'!$A$4:$A$6,0))</x:f>
        <x:v>85</x:v>
      </x:c>
      <x:c r="H560" s="15" t="n">
        <x:f>D560*(1-E560)</x:f>
        <x:v>399.20000000000005</x:v>
      </x:c>
      <x:c r="I560" s="15" t="n">
        <x:f>F560+G560</x:f>
        <x:v>190</x:v>
      </x:c>
      <x:c r="J560" s="15" t="n">
        <x:f>H560-I560</x:f>
        <x:v>209.20000000000005</x:v>
      </x:c>
      <x:c r="K560" s="16" t="n">
        <x:f>IFERROR(J560/H560,0)</x:f>
        <x:v>0.5240480961923848</x:v>
      </x:c>
      <x:c r="L560" s="14" t="str">
        <x:f>IF(J560&gt;0,"Provisional positive contribution","Not viable")</x:f>
        <x:v>Provisional positive contribution</x:v>
      </x:c>
    </x:row>
    <x:row r="561">
      <x:c r="A561" s="14" t="str">
        <x:v>220gsm Cotton</x:v>
      </x:c>
      <x:c r="B561" s="14" t="n">
        <x:v>10</x:v>
      </x:c>
      <x:c r="C561" s="15" t="n">
        <x:v>699</x:v>
      </x:c>
      <x:c r="D561" s="15" t="n">
        <x:v>499</x:v>
      </x:c>
      <x:c r="E561" s="16" t="n">
        <x:v>0.25</x:v>
      </x:c>
      <x:c r="F561" s="15" t="n">
        <x:f>INDEX('Inputs'!$D$4:$D$6,MATCH(A561,'Inputs'!$A$4:$A$6,0))</x:f>
        <x:v>105</x:v>
      </x:c>
      <x:c r="G561" s="15" t="n">
        <x:f>INDEX('Inputs'!$E$4:$E$6,MATCH(A561,'Inputs'!$A$4:$A$6,0))</x:f>
        <x:v>85</x:v>
      </x:c>
      <x:c r="H561" s="15" t="n">
        <x:f>D561*(1-E561)</x:f>
        <x:v>374.25</x:v>
      </x:c>
      <x:c r="I561" s="15" t="n">
        <x:f>F561+G561</x:f>
        <x:v>190</x:v>
      </x:c>
      <x:c r="J561" s="15" t="n">
        <x:f>H561-I561</x:f>
        <x:v>184.25</x:v>
      </x:c>
      <x:c r="K561" s="16" t="n">
        <x:f>IFERROR(J561/H561,0)</x:f>
        <x:v>0.4923179692718771</x:v>
      </x:c>
      <x:c r="L561" s="14" t="str">
        <x:f>IF(J561&gt;0,"Provisional positive contribution","Not viable")</x:f>
        <x:v>Provisional positive contribution</x:v>
      </x:c>
    </x:row>
    <x:row r="562">
      <x:c r="A562" s="14" t="str">
        <x:v>220gsm Cotton</x:v>
      </x:c>
      <x:c r="B562" s="14" t="n">
        <x:v>10</x:v>
      </x:c>
      <x:c r="C562" s="15" t="n">
        <x:v>699</x:v>
      </x:c>
      <x:c r="D562" s="15" t="n">
        <x:v>499</x:v>
      </x:c>
      <x:c r="E562" s="16" t="n">
        <x:v>0.3</x:v>
      </x:c>
      <x:c r="F562" s="15" t="n">
        <x:f>INDEX('Inputs'!$D$4:$D$6,MATCH(A562,'Inputs'!$A$4:$A$6,0))</x:f>
        <x:v>105</x:v>
      </x:c>
      <x:c r="G562" s="15" t="n">
        <x:f>INDEX('Inputs'!$E$4:$E$6,MATCH(A562,'Inputs'!$A$4:$A$6,0))</x:f>
        <x:v>85</x:v>
      </x:c>
      <x:c r="H562" s="15" t="n">
        <x:f>D562*(1-E562)</x:f>
        <x:v>349.29999999999995</x:v>
      </x:c>
      <x:c r="I562" s="15" t="n">
        <x:f>F562+G562</x:f>
        <x:v>190</x:v>
      </x:c>
      <x:c r="J562" s="15" t="n">
        <x:f>H562-I562</x:f>
        <x:v>159.29999999999995</x:v>
      </x:c>
      <x:c r="K562" s="16" t="n">
        <x:f>IFERROR(J562/H562,0)</x:f>
        <x:v>0.4560549670770111</x:v>
      </x:c>
      <x:c r="L562" s="14" t="str">
        <x:f>IF(J562&gt;0,"Provisional positive contribution","Not viable")</x:f>
        <x:v>Provisional positive contribution</x:v>
      </x:c>
    </x:row>
    <x:row r="563">
      <x:c r="A563" s="14" t="str">
        <x:v>220gsm Cotton</x:v>
      </x:c>
      <x:c r="B563" s="14" t="n">
        <x:v>10</x:v>
      </x:c>
      <x:c r="C563" s="15" t="n">
        <x:v>699</x:v>
      </x:c>
      <x:c r="D563" s="15" t="n">
        <x:v>499</x:v>
      </x:c>
      <x:c r="E563" s="16" t="n">
        <x:v>0.35</x:v>
      </x:c>
      <x:c r="F563" s="15" t="n">
        <x:f>INDEX('Inputs'!$D$4:$D$6,MATCH(A563,'Inputs'!$A$4:$A$6,0))</x:f>
        <x:v>105</x:v>
      </x:c>
      <x:c r="G563" s="15" t="n">
        <x:f>INDEX('Inputs'!$E$4:$E$6,MATCH(A563,'Inputs'!$A$4:$A$6,0))</x:f>
        <x:v>85</x:v>
      </x:c>
      <x:c r="H563" s="15" t="n">
        <x:f>D563*(1-E563)</x:f>
        <x:v>324.35</x:v>
      </x:c>
      <x:c r="I563" s="15" t="n">
        <x:f>F563+G563</x:f>
        <x:v>190</x:v>
      </x:c>
      <x:c r="J563" s="15" t="n">
        <x:f>H563-I563</x:f>
        <x:v>134.35000000000002</x:v>
      </x:c>
      <x:c r="K563" s="16" t="n">
        <x:f>IFERROR(J563/H563,0)</x:f>
        <x:v>0.4142130414675505</x:v>
      </x:c>
      <x:c r="L563" s="14" t="str">
        <x:f>IF(J563&gt;0,"Provisional positive contribution","Not viable")</x:f>
        <x:v>Provisional positive contribution</x:v>
      </x:c>
    </x:row>
    <x:row r="564">
      <x:c r="A564" s="14" t="str">
        <x:v>220gsm Cotton</x:v>
      </x:c>
      <x:c r="B564" s="14" t="n">
        <x:v>10</x:v>
      </x:c>
      <x:c r="C564" s="15" t="n">
        <x:v>749</x:v>
      </x:c>
      <x:c r="D564" s="15" t="n">
        <x:v>349</x:v>
      </x:c>
      <x:c r="E564" s="16" t="n">
        <x:v>0.2</x:v>
      </x:c>
      <x:c r="F564" s="15" t="n">
        <x:f>INDEX('Inputs'!$D$4:$D$6,MATCH(A564,'Inputs'!$A$4:$A$6,0))</x:f>
        <x:v>105</x:v>
      </x:c>
      <x:c r="G564" s="15" t="n">
        <x:f>INDEX('Inputs'!$E$4:$E$6,MATCH(A564,'Inputs'!$A$4:$A$6,0))</x:f>
        <x:v>85</x:v>
      </x:c>
      <x:c r="H564" s="15" t="n">
        <x:f>D564*(1-E564)</x:f>
        <x:v>279.2</x:v>
      </x:c>
      <x:c r="I564" s="15" t="n">
        <x:f>F564+G564</x:f>
        <x:v>190</x:v>
      </x:c>
      <x:c r="J564" s="15" t="n">
        <x:f>H564-I564</x:f>
        <x:v>89.19999999999999</x:v>
      </x:c>
      <x:c r="K564" s="16" t="n">
        <x:f>IFERROR(J564/H564,0)</x:f>
        <x:v>0.31948424068767906</x:v>
      </x:c>
      <x:c r="L564" s="14" t="str">
        <x:f>IF(J564&gt;0,"Provisional positive contribution","Not viable")</x:f>
        <x:v>Provisional positive contribution</x:v>
      </x:c>
    </x:row>
    <x:row r="565">
      <x:c r="A565" s="14" t="str">
        <x:v>220gsm Cotton</x:v>
      </x:c>
      <x:c r="B565" s="14" t="n">
        <x:v>10</x:v>
      </x:c>
      <x:c r="C565" s="15" t="n">
        <x:v>749</x:v>
      </x:c>
      <x:c r="D565" s="15" t="n">
        <x:v>349</x:v>
      </x:c>
      <x:c r="E565" s="16" t="n">
        <x:v>0.25</x:v>
      </x:c>
      <x:c r="F565" s="15" t="n">
        <x:f>INDEX('Inputs'!$D$4:$D$6,MATCH(A565,'Inputs'!$A$4:$A$6,0))</x:f>
        <x:v>105</x:v>
      </x:c>
      <x:c r="G565" s="15" t="n">
        <x:f>INDEX('Inputs'!$E$4:$E$6,MATCH(A565,'Inputs'!$A$4:$A$6,0))</x:f>
        <x:v>85</x:v>
      </x:c>
      <x:c r="H565" s="15" t="n">
        <x:f>D565*(1-E565)</x:f>
        <x:v>261.75</x:v>
      </x:c>
      <x:c r="I565" s="15" t="n">
        <x:f>F565+G565</x:f>
        <x:v>190</x:v>
      </x:c>
      <x:c r="J565" s="15" t="n">
        <x:f>H565-I565</x:f>
        <x:v>71.75</x:v>
      </x:c>
      <x:c r="K565" s="16" t="n">
        <x:f>IFERROR(J565/H565,0)</x:f>
        <x:v>0.27411652340019105</x:v>
      </x:c>
      <x:c r="L565" s="14" t="str">
        <x:f>IF(J565&gt;0,"Provisional positive contribution","Not viable")</x:f>
        <x:v>Provisional positive contribution</x:v>
      </x:c>
    </x:row>
    <x:row r="566">
      <x:c r="A566" s="14" t="str">
        <x:v>220gsm Cotton</x:v>
      </x:c>
      <x:c r="B566" s="14" t="n">
        <x:v>10</x:v>
      </x:c>
      <x:c r="C566" s="15" t="n">
        <x:v>749</x:v>
      </x:c>
      <x:c r="D566" s="15" t="n">
        <x:v>349</x:v>
      </x:c>
      <x:c r="E566" s="16" t="n">
        <x:v>0.3</x:v>
      </x:c>
      <x:c r="F566" s="15" t="n">
        <x:f>INDEX('Inputs'!$D$4:$D$6,MATCH(A566,'Inputs'!$A$4:$A$6,0))</x:f>
        <x:v>105</x:v>
      </x:c>
      <x:c r="G566" s="15" t="n">
        <x:f>INDEX('Inputs'!$E$4:$E$6,MATCH(A566,'Inputs'!$A$4:$A$6,0))</x:f>
        <x:v>85</x:v>
      </x:c>
      <x:c r="H566" s="15" t="n">
        <x:f>D566*(1-E566)</x:f>
        <x:v>244.29999999999998</x:v>
      </x:c>
      <x:c r="I566" s="15" t="n">
        <x:f>F566+G566</x:f>
        <x:v>190</x:v>
      </x:c>
      <x:c r="J566" s="15" t="n">
        <x:f>H566-I566</x:f>
        <x:v>54.29999999999998</x:v>
      </x:c>
      <x:c r="K566" s="16" t="n">
        <x:f>IFERROR(J566/H566,0)</x:f>
        <x:v>0.22226770364306175</x:v>
      </x:c>
      <x:c r="L566" s="14" t="str">
        <x:f>IF(J566&gt;0,"Provisional positive contribution","Not viable")</x:f>
        <x:v>Provisional positive contribution</x:v>
      </x:c>
    </x:row>
    <x:row r="567">
      <x:c r="A567" s="14" t="str">
        <x:v>220gsm Cotton</x:v>
      </x:c>
      <x:c r="B567" s="14" t="n">
        <x:v>10</x:v>
      </x:c>
      <x:c r="C567" s="15" t="n">
        <x:v>749</x:v>
      </x:c>
      <x:c r="D567" s="15" t="n">
        <x:v>349</x:v>
      </x:c>
      <x:c r="E567" s="16" t="n">
        <x:v>0.35</x:v>
      </x:c>
      <x:c r="F567" s="15" t="n">
        <x:f>INDEX('Inputs'!$D$4:$D$6,MATCH(A567,'Inputs'!$A$4:$A$6,0))</x:f>
        <x:v>105</x:v>
      </x:c>
      <x:c r="G567" s="15" t="n">
        <x:f>INDEX('Inputs'!$E$4:$E$6,MATCH(A567,'Inputs'!$A$4:$A$6,0))</x:f>
        <x:v>85</x:v>
      </x:c>
      <x:c r="H567" s="15" t="n">
        <x:f>D567*(1-E567)</x:f>
        <x:v>226.85</x:v>
      </x:c>
      <x:c r="I567" s="15" t="n">
        <x:f>F567+G567</x:f>
        <x:v>190</x:v>
      </x:c>
      <x:c r="J567" s="15" t="n">
        <x:f>H567-I567</x:f>
        <x:v>36.849999999999994</x:v>
      </x:c>
      <x:c r="K567" s="16" t="n">
        <x:f>IFERROR(J567/H567,0)</x:f>
        <x:v>0.16244214238483579</x:v>
      </x:c>
      <x:c r="L567" s="14" t="str">
        <x:f>IF(J567&gt;0,"Provisional positive contribution","Not viable")</x:f>
        <x:v>Provisional positive contribution</x:v>
      </x:c>
    </x:row>
    <x:row r="568">
      <x:c r="A568" s="14" t="str">
        <x:v>220gsm Cotton</x:v>
      </x:c>
      <x:c r="B568" s="14" t="n">
        <x:v>10</x:v>
      </x:c>
      <x:c r="C568" s="15" t="n">
        <x:v>749</x:v>
      </x:c>
      <x:c r="D568" s="15" t="n">
        <x:v>399</x:v>
      </x:c>
      <x:c r="E568" s="16" t="n">
        <x:v>0.2</x:v>
      </x:c>
      <x:c r="F568" s="15" t="n">
        <x:f>INDEX('Inputs'!$D$4:$D$6,MATCH(A568,'Inputs'!$A$4:$A$6,0))</x:f>
        <x:v>105</x:v>
      </x:c>
      <x:c r="G568" s="15" t="n">
        <x:f>INDEX('Inputs'!$E$4:$E$6,MATCH(A568,'Inputs'!$A$4:$A$6,0))</x:f>
        <x:v>85</x:v>
      </x:c>
      <x:c r="H568" s="15" t="n">
        <x:f>D568*(1-E568)</x:f>
        <x:v>319.20000000000005</x:v>
      </x:c>
      <x:c r="I568" s="15" t="n">
        <x:f>F568+G568</x:f>
        <x:v>190</x:v>
      </x:c>
      <x:c r="J568" s="15" t="n">
        <x:f>H568-I568</x:f>
        <x:v>129.20000000000005</x:v>
      </x:c>
      <x:c r="K568" s="16" t="n">
        <x:f>IFERROR(J568/H568,0)</x:f>
        <x:v>0.4047619047619048</x:v>
      </x:c>
      <x:c r="L568" s="14" t="str">
        <x:f>IF(J568&gt;0,"Provisional positive contribution","Not viable")</x:f>
        <x:v>Provisional positive contribution</x:v>
      </x:c>
    </x:row>
    <x:row r="569">
      <x:c r="A569" s="14" t="str">
        <x:v>220gsm Cotton</x:v>
      </x:c>
      <x:c r="B569" s="14" t="n">
        <x:v>10</x:v>
      </x:c>
      <x:c r="C569" s="15" t="n">
        <x:v>749</x:v>
      </x:c>
      <x:c r="D569" s="15" t="n">
        <x:v>399</x:v>
      </x:c>
      <x:c r="E569" s="16" t="n">
        <x:v>0.25</x:v>
      </x:c>
      <x:c r="F569" s="15" t="n">
        <x:f>INDEX('Inputs'!$D$4:$D$6,MATCH(A569,'Inputs'!$A$4:$A$6,0))</x:f>
        <x:v>105</x:v>
      </x:c>
      <x:c r="G569" s="15" t="n">
        <x:f>INDEX('Inputs'!$E$4:$E$6,MATCH(A569,'Inputs'!$A$4:$A$6,0))</x:f>
        <x:v>85</x:v>
      </x:c>
      <x:c r="H569" s="15" t="n">
        <x:f>D569*(1-E569)</x:f>
        <x:v>299.25</x:v>
      </x:c>
      <x:c r="I569" s="15" t="n">
        <x:f>F569+G569</x:f>
        <x:v>190</x:v>
      </x:c>
      <x:c r="J569" s="15" t="n">
        <x:f>H569-I569</x:f>
        <x:v>109.25</x:v>
      </x:c>
      <x:c r="K569" s="16" t="n">
        <x:f>IFERROR(J569/H569,0)</x:f>
        <x:v>0.36507936507936506</x:v>
      </x:c>
      <x:c r="L569" s="14" t="str">
        <x:f>IF(J569&gt;0,"Provisional positive contribution","Not viable")</x:f>
        <x:v>Provisional positive contribution</x:v>
      </x:c>
    </x:row>
    <x:row r="570">
      <x:c r="A570" s="14" t="str">
        <x:v>220gsm Cotton</x:v>
      </x:c>
      <x:c r="B570" s="14" t="n">
        <x:v>10</x:v>
      </x:c>
      <x:c r="C570" s="15" t="n">
        <x:v>749</x:v>
      </x:c>
      <x:c r="D570" s="15" t="n">
        <x:v>399</x:v>
      </x:c>
      <x:c r="E570" s="16" t="n">
        <x:v>0.3</x:v>
      </x:c>
      <x:c r="F570" s="15" t="n">
        <x:f>INDEX('Inputs'!$D$4:$D$6,MATCH(A570,'Inputs'!$A$4:$A$6,0))</x:f>
        <x:v>105</x:v>
      </x:c>
      <x:c r="G570" s="15" t="n">
        <x:f>INDEX('Inputs'!$E$4:$E$6,MATCH(A570,'Inputs'!$A$4:$A$6,0))</x:f>
        <x:v>85</x:v>
      </x:c>
      <x:c r="H570" s="15" t="n">
        <x:f>D570*(1-E570)</x:f>
        <x:v>279.29999999999995</x:v>
      </x:c>
      <x:c r="I570" s="15" t="n">
        <x:f>F570+G570</x:f>
        <x:v>190</x:v>
      </x:c>
      <x:c r="J570" s="15" t="n">
        <x:f>H570-I570</x:f>
        <x:v>89.29999999999995</x:v>
      </x:c>
      <x:c r="K570" s="16" t="n">
        <x:f>IFERROR(J570/H570,0)</x:f>
        <x:v>0.3197278911564625</x:v>
      </x:c>
      <x:c r="L570" s="14" t="str">
        <x:f>IF(J570&gt;0,"Provisional positive contribution","Not viable")</x:f>
        <x:v>Provisional positive contribution</x:v>
      </x:c>
    </x:row>
    <x:row r="571">
      <x:c r="A571" s="14" t="str">
        <x:v>220gsm Cotton</x:v>
      </x:c>
      <x:c r="B571" s="14" t="n">
        <x:v>10</x:v>
      </x:c>
      <x:c r="C571" s="15" t="n">
        <x:v>749</x:v>
      </x:c>
      <x:c r="D571" s="15" t="n">
        <x:v>399</x:v>
      </x:c>
      <x:c r="E571" s="16" t="n">
        <x:v>0.35</x:v>
      </x:c>
      <x:c r="F571" s="15" t="n">
        <x:f>INDEX('Inputs'!$D$4:$D$6,MATCH(A571,'Inputs'!$A$4:$A$6,0))</x:f>
        <x:v>105</x:v>
      </x:c>
      <x:c r="G571" s="15" t="n">
        <x:f>INDEX('Inputs'!$E$4:$E$6,MATCH(A571,'Inputs'!$A$4:$A$6,0))</x:f>
        <x:v>85</x:v>
      </x:c>
      <x:c r="H571" s="15" t="n">
        <x:f>D571*(1-E571)</x:f>
        <x:v>259.35</x:v>
      </x:c>
      <x:c r="I571" s="15" t="n">
        <x:f>F571+G571</x:f>
        <x:v>190</x:v>
      </x:c>
      <x:c r="J571" s="15" t="n">
        <x:f>H571-I571</x:f>
        <x:v>69.35000000000002</x:v>
      </x:c>
      <x:c r="K571" s="16" t="n">
        <x:f>IFERROR(J571/H571,0)</x:f>
        <x:v>0.26739926739926745</x:v>
      </x:c>
      <x:c r="L571" s="14" t="str">
        <x:f>IF(J571&gt;0,"Provisional positive contribution","Not viable")</x:f>
        <x:v>Provisional positive contribution</x:v>
      </x:c>
    </x:row>
    <x:row r="572">
      <x:c r="A572" s="14" t="str">
        <x:v>220gsm Cotton</x:v>
      </x:c>
      <x:c r="B572" s="14" t="n">
        <x:v>10</x:v>
      </x:c>
      <x:c r="C572" s="15" t="n">
        <x:v>749</x:v>
      </x:c>
      <x:c r="D572" s="15" t="n">
        <x:v>449</x:v>
      </x:c>
      <x:c r="E572" s="16" t="n">
        <x:v>0.2</x:v>
      </x:c>
      <x:c r="F572" s="15" t="n">
        <x:f>INDEX('Inputs'!$D$4:$D$6,MATCH(A572,'Inputs'!$A$4:$A$6,0))</x:f>
        <x:v>105</x:v>
      </x:c>
      <x:c r="G572" s="15" t="n">
        <x:f>INDEX('Inputs'!$E$4:$E$6,MATCH(A572,'Inputs'!$A$4:$A$6,0))</x:f>
        <x:v>85</x:v>
      </x:c>
      <x:c r="H572" s="15" t="n">
        <x:f>D572*(1-E572)</x:f>
        <x:v>359.20000000000005</x:v>
      </x:c>
      <x:c r="I572" s="15" t="n">
        <x:f>F572+G572</x:f>
        <x:v>190</x:v>
      </x:c>
      <x:c r="J572" s="15" t="n">
        <x:f>H572-I572</x:f>
        <x:v>169.20000000000005</x:v>
      </x:c>
      <x:c r="K572" s="16" t="n">
        <x:f>IFERROR(J572/H572,0)</x:f>
        <x:v>0.4710467706013364</x:v>
      </x:c>
      <x:c r="L572" s="14" t="str">
        <x:f>IF(J572&gt;0,"Provisional positive contribution","Not viable")</x:f>
        <x:v>Provisional positive contribution</x:v>
      </x:c>
    </x:row>
    <x:row r="573">
      <x:c r="A573" s="14" t="str">
        <x:v>220gsm Cotton</x:v>
      </x:c>
      <x:c r="B573" s="14" t="n">
        <x:v>10</x:v>
      </x:c>
      <x:c r="C573" s="15" t="n">
        <x:v>749</x:v>
      </x:c>
      <x:c r="D573" s="15" t="n">
        <x:v>449</x:v>
      </x:c>
      <x:c r="E573" s="16" t="n">
        <x:v>0.25</x:v>
      </x:c>
      <x:c r="F573" s="15" t="n">
        <x:f>INDEX('Inputs'!$D$4:$D$6,MATCH(A573,'Inputs'!$A$4:$A$6,0))</x:f>
        <x:v>105</x:v>
      </x:c>
      <x:c r="G573" s="15" t="n">
        <x:f>INDEX('Inputs'!$E$4:$E$6,MATCH(A573,'Inputs'!$A$4:$A$6,0))</x:f>
        <x:v>85</x:v>
      </x:c>
      <x:c r="H573" s="15" t="n">
        <x:f>D573*(1-E573)</x:f>
        <x:v>336.75</x:v>
      </x:c>
      <x:c r="I573" s="15" t="n">
        <x:f>F573+G573</x:f>
        <x:v>190</x:v>
      </x:c>
      <x:c r="J573" s="15" t="n">
        <x:f>H573-I573</x:f>
        <x:v>146.75</x:v>
      </x:c>
      <x:c r="K573" s="16" t="n">
        <x:f>IFERROR(J573/H573,0)</x:f>
        <x:v>0.4357832219747587</x:v>
      </x:c>
      <x:c r="L573" s="14" t="str">
        <x:f>IF(J573&gt;0,"Provisional positive contribution","Not viable")</x:f>
        <x:v>Provisional positive contribution</x:v>
      </x:c>
    </x:row>
    <x:row r="574">
      <x:c r="A574" s="14" t="str">
        <x:v>220gsm Cotton</x:v>
      </x:c>
      <x:c r="B574" s="14" t="n">
        <x:v>10</x:v>
      </x:c>
      <x:c r="C574" s="15" t="n">
        <x:v>749</x:v>
      </x:c>
      <x:c r="D574" s="15" t="n">
        <x:v>449</x:v>
      </x:c>
      <x:c r="E574" s="16" t="n">
        <x:v>0.3</x:v>
      </x:c>
      <x:c r="F574" s="15" t="n">
        <x:f>INDEX('Inputs'!$D$4:$D$6,MATCH(A574,'Inputs'!$A$4:$A$6,0))</x:f>
        <x:v>105</x:v>
      </x:c>
      <x:c r="G574" s="15" t="n">
        <x:f>INDEX('Inputs'!$E$4:$E$6,MATCH(A574,'Inputs'!$A$4:$A$6,0))</x:f>
        <x:v>85</x:v>
      </x:c>
      <x:c r="H574" s="15" t="n">
        <x:f>D574*(1-E574)</x:f>
        <x:v>314.29999999999995</x:v>
      </x:c>
      <x:c r="I574" s="15" t="n">
        <x:f>F574+G574</x:f>
        <x:v>190</x:v>
      </x:c>
      <x:c r="J574" s="15" t="n">
        <x:f>H574-I574</x:f>
        <x:v>124.29999999999995</x:v>
      </x:c>
      <x:c r="K574" s="16" t="n">
        <x:f>IFERROR(J574/H574,0)</x:f>
        <x:v>0.3954820235443843</x:v>
      </x:c>
      <x:c r="L574" s="14" t="str">
        <x:f>IF(J574&gt;0,"Provisional positive contribution","Not viable")</x:f>
        <x:v>Provisional positive contribution</x:v>
      </x:c>
    </x:row>
    <x:row r="575">
      <x:c r="A575" s="14" t="str">
        <x:v>220gsm Cotton</x:v>
      </x:c>
      <x:c r="B575" s="14" t="n">
        <x:v>10</x:v>
      </x:c>
      <x:c r="C575" s="15" t="n">
        <x:v>749</x:v>
      </x:c>
      <x:c r="D575" s="15" t="n">
        <x:v>449</x:v>
      </x:c>
      <x:c r="E575" s="16" t="n">
        <x:v>0.35</x:v>
      </x:c>
      <x:c r="F575" s="15" t="n">
        <x:f>INDEX('Inputs'!$D$4:$D$6,MATCH(A575,'Inputs'!$A$4:$A$6,0))</x:f>
        <x:v>105</x:v>
      </x:c>
      <x:c r="G575" s="15" t="n">
        <x:f>INDEX('Inputs'!$E$4:$E$6,MATCH(A575,'Inputs'!$A$4:$A$6,0))</x:f>
        <x:v>85</x:v>
      </x:c>
      <x:c r="H575" s="15" t="n">
        <x:f>D575*(1-E575)</x:f>
        <x:v>291.85</x:v>
      </x:c>
      <x:c r="I575" s="15" t="n">
        <x:f>F575+G575</x:f>
        <x:v>190</x:v>
      </x:c>
      <x:c r="J575" s="15" t="n">
        <x:f>H575-I575</x:f>
        <x:v>101.85000000000002</x:v>
      </x:c>
      <x:c r="K575" s="16" t="n">
        <x:f>IFERROR(J575/H575,0)</x:f>
        <x:v>0.34898064074010626</x:v>
      </x:c>
      <x:c r="L575" s="14" t="str">
        <x:f>IF(J575&gt;0,"Provisional positive contribution","Not viable")</x:f>
        <x:v>Provisional positive contribution</x:v>
      </x:c>
    </x:row>
    <x:row r="576">
      <x:c r="A576" s="14" t="str">
        <x:v>220gsm Cotton</x:v>
      </x:c>
      <x:c r="B576" s="14" t="n">
        <x:v>10</x:v>
      </x:c>
      <x:c r="C576" s="15" t="n">
        <x:v>749</x:v>
      </x:c>
      <x:c r="D576" s="15" t="n">
        <x:v>499</x:v>
      </x:c>
      <x:c r="E576" s="16" t="n">
        <x:v>0.2</x:v>
      </x:c>
      <x:c r="F576" s="15" t="n">
        <x:f>INDEX('Inputs'!$D$4:$D$6,MATCH(A576,'Inputs'!$A$4:$A$6,0))</x:f>
        <x:v>105</x:v>
      </x:c>
      <x:c r="G576" s="15" t="n">
        <x:f>INDEX('Inputs'!$E$4:$E$6,MATCH(A576,'Inputs'!$A$4:$A$6,0))</x:f>
        <x:v>85</x:v>
      </x:c>
      <x:c r="H576" s="15" t="n">
        <x:f>D576*(1-E576)</x:f>
        <x:v>399.20000000000005</x:v>
      </x:c>
      <x:c r="I576" s="15" t="n">
        <x:f>F576+G576</x:f>
        <x:v>190</x:v>
      </x:c>
      <x:c r="J576" s="15" t="n">
        <x:f>H576-I576</x:f>
        <x:v>209.20000000000005</x:v>
      </x:c>
      <x:c r="K576" s="16" t="n">
        <x:f>IFERROR(J576/H576,0)</x:f>
        <x:v>0.5240480961923848</x:v>
      </x:c>
      <x:c r="L576" s="14" t="str">
        <x:f>IF(J576&gt;0,"Provisional positive contribution","Not viable")</x:f>
        <x:v>Provisional positive contribution</x:v>
      </x:c>
    </x:row>
    <x:row r="577">
      <x:c r="A577" s="14" t="str">
        <x:v>220gsm Cotton</x:v>
      </x:c>
      <x:c r="B577" s="14" t="n">
        <x:v>10</x:v>
      </x:c>
      <x:c r="C577" s="15" t="n">
        <x:v>749</x:v>
      </x:c>
      <x:c r="D577" s="15" t="n">
        <x:v>499</x:v>
      </x:c>
      <x:c r="E577" s="16" t="n">
        <x:v>0.25</x:v>
      </x:c>
      <x:c r="F577" s="15" t="n">
        <x:f>INDEX('Inputs'!$D$4:$D$6,MATCH(A577,'Inputs'!$A$4:$A$6,0))</x:f>
        <x:v>105</x:v>
      </x:c>
      <x:c r="G577" s="15" t="n">
        <x:f>INDEX('Inputs'!$E$4:$E$6,MATCH(A577,'Inputs'!$A$4:$A$6,0))</x:f>
        <x:v>85</x:v>
      </x:c>
      <x:c r="H577" s="15" t="n">
        <x:f>D577*(1-E577)</x:f>
        <x:v>374.25</x:v>
      </x:c>
      <x:c r="I577" s="15" t="n">
        <x:f>F577+G577</x:f>
        <x:v>190</x:v>
      </x:c>
      <x:c r="J577" s="15" t="n">
        <x:f>H577-I577</x:f>
        <x:v>184.25</x:v>
      </x:c>
      <x:c r="K577" s="16" t="n">
        <x:f>IFERROR(J577/H577,0)</x:f>
        <x:v>0.4923179692718771</x:v>
      </x:c>
      <x:c r="L577" s="14" t="str">
        <x:f>IF(J577&gt;0,"Provisional positive contribution","Not viable")</x:f>
        <x:v>Provisional positive contribution</x:v>
      </x:c>
    </x:row>
    <x:row r="578">
      <x:c r="A578" s="14" t="str">
        <x:v>220gsm Cotton</x:v>
      </x:c>
      <x:c r="B578" s="14" t="n">
        <x:v>10</x:v>
      </x:c>
      <x:c r="C578" s="15" t="n">
        <x:v>749</x:v>
      </x:c>
      <x:c r="D578" s="15" t="n">
        <x:v>499</x:v>
      </x:c>
      <x:c r="E578" s="16" t="n">
        <x:v>0.3</x:v>
      </x:c>
      <x:c r="F578" s="15" t="n">
        <x:f>INDEX('Inputs'!$D$4:$D$6,MATCH(A578,'Inputs'!$A$4:$A$6,0))</x:f>
        <x:v>105</x:v>
      </x:c>
      <x:c r="G578" s="15" t="n">
        <x:f>INDEX('Inputs'!$E$4:$E$6,MATCH(A578,'Inputs'!$A$4:$A$6,0))</x:f>
        <x:v>85</x:v>
      </x:c>
      <x:c r="H578" s="15" t="n">
        <x:f>D578*(1-E578)</x:f>
        <x:v>349.29999999999995</x:v>
      </x:c>
      <x:c r="I578" s="15" t="n">
        <x:f>F578+G578</x:f>
        <x:v>190</x:v>
      </x:c>
      <x:c r="J578" s="15" t="n">
        <x:f>H578-I578</x:f>
        <x:v>159.29999999999995</x:v>
      </x:c>
      <x:c r="K578" s="16" t="n">
        <x:f>IFERROR(J578/H578,0)</x:f>
        <x:v>0.4560549670770111</x:v>
      </x:c>
      <x:c r="L578" s="14" t="str">
        <x:f>IF(J578&gt;0,"Provisional positive contribution","Not viable")</x:f>
        <x:v>Provisional positive contribution</x:v>
      </x:c>
    </x:row>
    <x:row r="579">
      <x:c r="A579" s="14" t="str">
        <x:v>220gsm Cotton</x:v>
      </x:c>
      <x:c r="B579" s="14" t="n">
        <x:v>10</x:v>
      </x:c>
      <x:c r="C579" s="15" t="n">
        <x:v>749</x:v>
      </x:c>
      <x:c r="D579" s="15" t="n">
        <x:v>499</x:v>
      </x:c>
      <x:c r="E579" s="16" t="n">
        <x:v>0.35</x:v>
      </x:c>
      <x:c r="F579" s="15" t="n">
        <x:f>INDEX('Inputs'!$D$4:$D$6,MATCH(A579,'Inputs'!$A$4:$A$6,0))</x:f>
        <x:v>105</x:v>
      </x:c>
      <x:c r="G579" s="15" t="n">
        <x:f>INDEX('Inputs'!$E$4:$E$6,MATCH(A579,'Inputs'!$A$4:$A$6,0))</x:f>
        <x:v>85</x:v>
      </x:c>
      <x:c r="H579" s="15" t="n">
        <x:f>D579*(1-E579)</x:f>
        <x:v>324.35</x:v>
      </x:c>
      <x:c r="I579" s="15" t="n">
        <x:f>F579+G579</x:f>
        <x:v>190</x:v>
      </x:c>
      <x:c r="J579" s="15" t="n">
        <x:f>H579-I579</x:f>
        <x:v>134.35000000000002</x:v>
      </x:c>
      <x:c r="K579" s="16" t="n">
        <x:f>IFERROR(J579/H579,0)</x:f>
        <x:v>0.4142130414675505</x:v>
      </x:c>
      <x:c r="L579" s="14" t="str">
        <x:f>IF(J579&gt;0,"Provisional positive contribution","Not viable")</x:f>
        <x:v>Provisional positive contribution</x:v>
      </x:c>
    </x:row>
    <x:row r="580">
      <x:c r="A580" s="14" t="str">
        <x:v>220gsm Cotton</x:v>
      </x:c>
      <x:c r="B580" s="14" t="n">
        <x:v>25</x:v>
      </x:c>
      <x:c r="C580" s="15" t="n">
        <x:v>599</x:v>
      </x:c>
      <x:c r="D580" s="15" t="n">
        <x:v>349</x:v>
      </x:c>
      <x:c r="E580" s="16" t="n">
        <x:v>0.2</x:v>
      </x:c>
      <x:c r="F580" s="15" t="n">
        <x:f>INDEX('Inputs'!$D$4:$D$6,MATCH(A580,'Inputs'!$A$4:$A$6,0))</x:f>
        <x:v>105</x:v>
      </x:c>
      <x:c r="G580" s="15" t="n">
        <x:f>INDEX('Inputs'!$E$4:$E$6,MATCH(A580,'Inputs'!$A$4:$A$6,0))</x:f>
        <x:v>85</x:v>
      </x:c>
      <x:c r="H580" s="15" t="n">
        <x:f>D580*(1-E580)</x:f>
        <x:v>279.2</x:v>
      </x:c>
      <x:c r="I580" s="15" t="n">
        <x:f>F580+G580</x:f>
        <x:v>190</x:v>
      </x:c>
      <x:c r="J580" s="15" t="n">
        <x:f>H580-I580</x:f>
        <x:v>89.19999999999999</x:v>
      </x:c>
      <x:c r="K580" s="16" t="n">
        <x:f>IFERROR(J580/H580,0)</x:f>
        <x:v>0.31948424068767906</x:v>
      </x:c>
      <x:c r="L580" s="14" t="str">
        <x:f>IF(J580&gt;0,"Provisional positive contribution","Not viable")</x:f>
        <x:v>Provisional positive contribution</x:v>
      </x:c>
    </x:row>
    <x:row r="581">
      <x:c r="A581" s="14" t="str">
        <x:v>220gsm Cotton</x:v>
      </x:c>
      <x:c r="B581" s="14" t="n">
        <x:v>25</x:v>
      </x:c>
      <x:c r="C581" s="15" t="n">
        <x:v>599</x:v>
      </x:c>
      <x:c r="D581" s="15" t="n">
        <x:v>349</x:v>
      </x:c>
      <x:c r="E581" s="16" t="n">
        <x:v>0.25</x:v>
      </x:c>
      <x:c r="F581" s="15" t="n">
        <x:f>INDEX('Inputs'!$D$4:$D$6,MATCH(A581,'Inputs'!$A$4:$A$6,0))</x:f>
        <x:v>105</x:v>
      </x:c>
      <x:c r="G581" s="15" t="n">
        <x:f>INDEX('Inputs'!$E$4:$E$6,MATCH(A581,'Inputs'!$A$4:$A$6,0))</x:f>
        <x:v>85</x:v>
      </x:c>
      <x:c r="H581" s="15" t="n">
        <x:f>D581*(1-E581)</x:f>
        <x:v>261.75</x:v>
      </x:c>
      <x:c r="I581" s="15" t="n">
        <x:f>F581+G581</x:f>
        <x:v>190</x:v>
      </x:c>
      <x:c r="J581" s="15" t="n">
        <x:f>H581-I581</x:f>
        <x:v>71.75</x:v>
      </x:c>
      <x:c r="K581" s="16" t="n">
        <x:f>IFERROR(J581/H581,0)</x:f>
        <x:v>0.27411652340019105</x:v>
      </x:c>
      <x:c r="L581" s="14" t="str">
        <x:f>IF(J581&gt;0,"Provisional positive contribution","Not viable")</x:f>
        <x:v>Provisional positive contribution</x:v>
      </x:c>
    </x:row>
    <x:row r="582">
      <x:c r="A582" s="14" t="str">
        <x:v>220gsm Cotton</x:v>
      </x:c>
      <x:c r="B582" s="14" t="n">
        <x:v>25</x:v>
      </x:c>
      <x:c r="C582" s="15" t="n">
        <x:v>599</x:v>
      </x:c>
      <x:c r="D582" s="15" t="n">
        <x:v>349</x:v>
      </x:c>
      <x:c r="E582" s="16" t="n">
        <x:v>0.3</x:v>
      </x:c>
      <x:c r="F582" s="15" t="n">
        <x:f>INDEX('Inputs'!$D$4:$D$6,MATCH(A582,'Inputs'!$A$4:$A$6,0))</x:f>
        <x:v>105</x:v>
      </x:c>
      <x:c r="G582" s="15" t="n">
        <x:f>INDEX('Inputs'!$E$4:$E$6,MATCH(A582,'Inputs'!$A$4:$A$6,0))</x:f>
        <x:v>85</x:v>
      </x:c>
      <x:c r="H582" s="15" t="n">
        <x:f>D582*(1-E582)</x:f>
        <x:v>244.29999999999998</x:v>
      </x:c>
      <x:c r="I582" s="15" t="n">
        <x:f>F582+G582</x:f>
        <x:v>190</x:v>
      </x:c>
      <x:c r="J582" s="15" t="n">
        <x:f>H582-I582</x:f>
        <x:v>54.29999999999998</x:v>
      </x:c>
      <x:c r="K582" s="16" t="n">
        <x:f>IFERROR(J582/H582,0)</x:f>
        <x:v>0.22226770364306175</x:v>
      </x:c>
      <x:c r="L582" s="14" t="str">
        <x:f>IF(J582&gt;0,"Provisional positive contribution","Not viable")</x:f>
        <x:v>Provisional positive contribution</x:v>
      </x:c>
    </x:row>
    <x:row r="583">
      <x:c r="A583" s="14" t="str">
        <x:v>220gsm Cotton</x:v>
      </x:c>
      <x:c r="B583" s="14" t="n">
        <x:v>25</x:v>
      </x:c>
      <x:c r="C583" s="15" t="n">
        <x:v>599</x:v>
      </x:c>
      <x:c r="D583" s="15" t="n">
        <x:v>349</x:v>
      </x:c>
      <x:c r="E583" s="16" t="n">
        <x:v>0.35</x:v>
      </x:c>
      <x:c r="F583" s="15" t="n">
        <x:f>INDEX('Inputs'!$D$4:$D$6,MATCH(A583,'Inputs'!$A$4:$A$6,0))</x:f>
        <x:v>105</x:v>
      </x:c>
      <x:c r="G583" s="15" t="n">
        <x:f>INDEX('Inputs'!$E$4:$E$6,MATCH(A583,'Inputs'!$A$4:$A$6,0))</x:f>
        <x:v>85</x:v>
      </x:c>
      <x:c r="H583" s="15" t="n">
        <x:f>D583*(1-E583)</x:f>
        <x:v>226.85</x:v>
      </x:c>
      <x:c r="I583" s="15" t="n">
        <x:f>F583+G583</x:f>
        <x:v>190</x:v>
      </x:c>
      <x:c r="J583" s="15" t="n">
        <x:f>H583-I583</x:f>
        <x:v>36.849999999999994</x:v>
      </x:c>
      <x:c r="K583" s="16" t="n">
        <x:f>IFERROR(J583/H583,0)</x:f>
        <x:v>0.16244214238483579</x:v>
      </x:c>
      <x:c r="L583" s="14" t="str">
        <x:f>IF(J583&gt;0,"Provisional positive contribution","Not viable")</x:f>
        <x:v>Provisional positive contribution</x:v>
      </x:c>
    </x:row>
    <x:row r="584">
      <x:c r="A584" s="14" t="str">
        <x:v>220gsm Cotton</x:v>
      </x:c>
      <x:c r="B584" s="14" t="n">
        <x:v>25</x:v>
      </x:c>
      <x:c r="C584" s="15" t="n">
        <x:v>599</x:v>
      </x:c>
      <x:c r="D584" s="15" t="n">
        <x:v>399</x:v>
      </x:c>
      <x:c r="E584" s="16" t="n">
        <x:v>0.2</x:v>
      </x:c>
      <x:c r="F584" s="15" t="n">
        <x:f>INDEX('Inputs'!$D$4:$D$6,MATCH(A584,'Inputs'!$A$4:$A$6,0))</x:f>
        <x:v>105</x:v>
      </x:c>
      <x:c r="G584" s="15" t="n">
        <x:f>INDEX('Inputs'!$E$4:$E$6,MATCH(A584,'Inputs'!$A$4:$A$6,0))</x:f>
        <x:v>85</x:v>
      </x:c>
      <x:c r="H584" s="15" t="n">
        <x:f>D584*(1-E584)</x:f>
        <x:v>319.20000000000005</x:v>
      </x:c>
      <x:c r="I584" s="15" t="n">
        <x:f>F584+G584</x:f>
        <x:v>190</x:v>
      </x:c>
      <x:c r="J584" s="15" t="n">
        <x:f>H584-I584</x:f>
        <x:v>129.20000000000005</x:v>
      </x:c>
      <x:c r="K584" s="16" t="n">
        <x:f>IFERROR(J584/H584,0)</x:f>
        <x:v>0.4047619047619048</x:v>
      </x:c>
      <x:c r="L584" s="14" t="str">
        <x:f>IF(J584&gt;0,"Provisional positive contribution","Not viable")</x:f>
        <x:v>Provisional positive contribution</x:v>
      </x:c>
    </x:row>
    <x:row r="585">
      <x:c r="A585" s="14" t="str">
        <x:v>220gsm Cotton</x:v>
      </x:c>
      <x:c r="B585" s="14" t="n">
        <x:v>25</x:v>
      </x:c>
      <x:c r="C585" s="15" t="n">
        <x:v>599</x:v>
      </x:c>
      <x:c r="D585" s="15" t="n">
        <x:v>399</x:v>
      </x:c>
      <x:c r="E585" s="16" t="n">
        <x:v>0.25</x:v>
      </x:c>
      <x:c r="F585" s="15" t="n">
        <x:f>INDEX('Inputs'!$D$4:$D$6,MATCH(A585,'Inputs'!$A$4:$A$6,0))</x:f>
        <x:v>105</x:v>
      </x:c>
      <x:c r="G585" s="15" t="n">
        <x:f>INDEX('Inputs'!$E$4:$E$6,MATCH(A585,'Inputs'!$A$4:$A$6,0))</x:f>
        <x:v>85</x:v>
      </x:c>
      <x:c r="H585" s="15" t="n">
        <x:f>D585*(1-E585)</x:f>
        <x:v>299.25</x:v>
      </x:c>
      <x:c r="I585" s="15" t="n">
        <x:f>F585+G585</x:f>
        <x:v>190</x:v>
      </x:c>
      <x:c r="J585" s="15" t="n">
        <x:f>H585-I585</x:f>
        <x:v>109.25</x:v>
      </x:c>
      <x:c r="K585" s="16" t="n">
        <x:f>IFERROR(J585/H585,0)</x:f>
        <x:v>0.36507936507936506</x:v>
      </x:c>
      <x:c r="L585" s="14" t="str">
        <x:f>IF(J585&gt;0,"Provisional positive contribution","Not viable")</x:f>
        <x:v>Provisional positive contribution</x:v>
      </x:c>
    </x:row>
    <x:row r="586">
      <x:c r="A586" s="14" t="str">
        <x:v>220gsm Cotton</x:v>
      </x:c>
      <x:c r="B586" s="14" t="n">
        <x:v>25</x:v>
      </x:c>
      <x:c r="C586" s="15" t="n">
        <x:v>599</x:v>
      </x:c>
      <x:c r="D586" s="15" t="n">
        <x:v>399</x:v>
      </x:c>
      <x:c r="E586" s="16" t="n">
        <x:v>0.3</x:v>
      </x:c>
      <x:c r="F586" s="15" t="n">
        <x:f>INDEX('Inputs'!$D$4:$D$6,MATCH(A586,'Inputs'!$A$4:$A$6,0))</x:f>
        <x:v>105</x:v>
      </x:c>
      <x:c r="G586" s="15" t="n">
        <x:f>INDEX('Inputs'!$E$4:$E$6,MATCH(A586,'Inputs'!$A$4:$A$6,0))</x:f>
        <x:v>85</x:v>
      </x:c>
      <x:c r="H586" s="15" t="n">
        <x:f>D586*(1-E586)</x:f>
        <x:v>279.29999999999995</x:v>
      </x:c>
      <x:c r="I586" s="15" t="n">
        <x:f>F586+G586</x:f>
        <x:v>190</x:v>
      </x:c>
      <x:c r="J586" s="15" t="n">
        <x:f>H586-I586</x:f>
        <x:v>89.29999999999995</x:v>
      </x:c>
      <x:c r="K586" s="16" t="n">
        <x:f>IFERROR(J586/H586,0)</x:f>
        <x:v>0.3197278911564625</x:v>
      </x:c>
      <x:c r="L586" s="14" t="str">
        <x:f>IF(J586&gt;0,"Provisional positive contribution","Not viable")</x:f>
        <x:v>Provisional positive contribution</x:v>
      </x:c>
    </x:row>
    <x:row r="587">
      <x:c r="A587" s="14" t="str">
        <x:v>220gsm Cotton</x:v>
      </x:c>
      <x:c r="B587" s="14" t="n">
        <x:v>25</x:v>
      </x:c>
      <x:c r="C587" s="15" t="n">
        <x:v>599</x:v>
      </x:c>
      <x:c r="D587" s="15" t="n">
        <x:v>399</x:v>
      </x:c>
      <x:c r="E587" s="16" t="n">
        <x:v>0.35</x:v>
      </x:c>
      <x:c r="F587" s="15" t="n">
        <x:f>INDEX('Inputs'!$D$4:$D$6,MATCH(A587,'Inputs'!$A$4:$A$6,0))</x:f>
        <x:v>105</x:v>
      </x:c>
      <x:c r="G587" s="15" t="n">
        <x:f>INDEX('Inputs'!$E$4:$E$6,MATCH(A587,'Inputs'!$A$4:$A$6,0))</x:f>
        <x:v>85</x:v>
      </x:c>
      <x:c r="H587" s="15" t="n">
        <x:f>D587*(1-E587)</x:f>
        <x:v>259.35</x:v>
      </x:c>
      <x:c r="I587" s="15" t="n">
        <x:f>F587+G587</x:f>
        <x:v>190</x:v>
      </x:c>
      <x:c r="J587" s="15" t="n">
        <x:f>H587-I587</x:f>
        <x:v>69.35000000000002</x:v>
      </x:c>
      <x:c r="K587" s="16" t="n">
        <x:f>IFERROR(J587/H587,0)</x:f>
        <x:v>0.26739926739926745</x:v>
      </x:c>
      <x:c r="L587" s="14" t="str">
        <x:f>IF(J587&gt;0,"Provisional positive contribution","Not viable")</x:f>
        <x:v>Provisional positive contribution</x:v>
      </x:c>
    </x:row>
    <x:row r="588">
      <x:c r="A588" s="14" t="str">
        <x:v>220gsm Cotton</x:v>
      </x:c>
      <x:c r="B588" s="14" t="n">
        <x:v>25</x:v>
      </x:c>
      <x:c r="C588" s="15" t="n">
        <x:v>599</x:v>
      </x:c>
      <x:c r="D588" s="15" t="n">
        <x:v>449</x:v>
      </x:c>
      <x:c r="E588" s="16" t="n">
        <x:v>0.2</x:v>
      </x:c>
      <x:c r="F588" s="15" t="n">
        <x:f>INDEX('Inputs'!$D$4:$D$6,MATCH(A588,'Inputs'!$A$4:$A$6,0))</x:f>
        <x:v>105</x:v>
      </x:c>
      <x:c r="G588" s="15" t="n">
        <x:f>INDEX('Inputs'!$E$4:$E$6,MATCH(A588,'Inputs'!$A$4:$A$6,0))</x:f>
        <x:v>85</x:v>
      </x:c>
      <x:c r="H588" s="15" t="n">
        <x:f>D588*(1-E588)</x:f>
        <x:v>359.20000000000005</x:v>
      </x:c>
      <x:c r="I588" s="15" t="n">
        <x:f>F588+G588</x:f>
        <x:v>190</x:v>
      </x:c>
      <x:c r="J588" s="15" t="n">
        <x:f>H588-I588</x:f>
        <x:v>169.20000000000005</x:v>
      </x:c>
      <x:c r="K588" s="16" t="n">
        <x:f>IFERROR(J588/H588,0)</x:f>
        <x:v>0.4710467706013364</x:v>
      </x:c>
      <x:c r="L588" s="14" t="str">
        <x:f>IF(J588&gt;0,"Provisional positive contribution","Not viable")</x:f>
        <x:v>Provisional positive contribution</x:v>
      </x:c>
    </x:row>
    <x:row r="589">
      <x:c r="A589" s="14" t="str">
        <x:v>220gsm Cotton</x:v>
      </x:c>
      <x:c r="B589" s="14" t="n">
        <x:v>25</x:v>
      </x:c>
      <x:c r="C589" s="15" t="n">
        <x:v>599</x:v>
      </x:c>
      <x:c r="D589" s="15" t="n">
        <x:v>449</x:v>
      </x:c>
      <x:c r="E589" s="16" t="n">
        <x:v>0.25</x:v>
      </x:c>
      <x:c r="F589" s="15" t="n">
        <x:f>INDEX('Inputs'!$D$4:$D$6,MATCH(A589,'Inputs'!$A$4:$A$6,0))</x:f>
        <x:v>105</x:v>
      </x:c>
      <x:c r="G589" s="15" t="n">
        <x:f>INDEX('Inputs'!$E$4:$E$6,MATCH(A589,'Inputs'!$A$4:$A$6,0))</x:f>
        <x:v>85</x:v>
      </x:c>
      <x:c r="H589" s="15" t="n">
        <x:f>D589*(1-E589)</x:f>
        <x:v>336.75</x:v>
      </x:c>
      <x:c r="I589" s="15" t="n">
        <x:f>F589+G589</x:f>
        <x:v>190</x:v>
      </x:c>
      <x:c r="J589" s="15" t="n">
        <x:f>H589-I589</x:f>
        <x:v>146.75</x:v>
      </x:c>
      <x:c r="K589" s="16" t="n">
        <x:f>IFERROR(J589/H589,0)</x:f>
        <x:v>0.4357832219747587</x:v>
      </x:c>
      <x:c r="L589" s="14" t="str">
        <x:f>IF(J589&gt;0,"Provisional positive contribution","Not viable")</x:f>
        <x:v>Provisional positive contribution</x:v>
      </x:c>
    </x:row>
    <x:row r="590">
      <x:c r="A590" s="14" t="str">
        <x:v>220gsm Cotton</x:v>
      </x:c>
      <x:c r="B590" s="14" t="n">
        <x:v>25</x:v>
      </x:c>
      <x:c r="C590" s="15" t="n">
        <x:v>599</x:v>
      </x:c>
      <x:c r="D590" s="15" t="n">
        <x:v>449</x:v>
      </x:c>
      <x:c r="E590" s="16" t="n">
        <x:v>0.3</x:v>
      </x:c>
      <x:c r="F590" s="15" t="n">
        <x:f>INDEX('Inputs'!$D$4:$D$6,MATCH(A590,'Inputs'!$A$4:$A$6,0))</x:f>
        <x:v>105</x:v>
      </x:c>
      <x:c r="G590" s="15" t="n">
        <x:f>INDEX('Inputs'!$E$4:$E$6,MATCH(A590,'Inputs'!$A$4:$A$6,0))</x:f>
        <x:v>85</x:v>
      </x:c>
      <x:c r="H590" s="15" t="n">
        <x:f>D590*(1-E590)</x:f>
        <x:v>314.29999999999995</x:v>
      </x:c>
      <x:c r="I590" s="15" t="n">
        <x:f>F590+G590</x:f>
        <x:v>190</x:v>
      </x:c>
      <x:c r="J590" s="15" t="n">
        <x:f>H590-I590</x:f>
        <x:v>124.29999999999995</x:v>
      </x:c>
      <x:c r="K590" s="16" t="n">
        <x:f>IFERROR(J590/H590,0)</x:f>
        <x:v>0.3954820235443843</x:v>
      </x:c>
      <x:c r="L590" s="14" t="str">
        <x:f>IF(J590&gt;0,"Provisional positive contribution","Not viable")</x:f>
        <x:v>Provisional positive contribution</x:v>
      </x:c>
    </x:row>
    <x:row r="591">
      <x:c r="A591" s="14" t="str">
        <x:v>220gsm Cotton</x:v>
      </x:c>
      <x:c r="B591" s="14" t="n">
        <x:v>25</x:v>
      </x:c>
      <x:c r="C591" s="15" t="n">
        <x:v>599</x:v>
      </x:c>
      <x:c r="D591" s="15" t="n">
        <x:v>449</x:v>
      </x:c>
      <x:c r="E591" s="16" t="n">
        <x:v>0.35</x:v>
      </x:c>
      <x:c r="F591" s="15" t="n">
        <x:f>INDEX('Inputs'!$D$4:$D$6,MATCH(A591,'Inputs'!$A$4:$A$6,0))</x:f>
        <x:v>105</x:v>
      </x:c>
      <x:c r="G591" s="15" t="n">
        <x:f>INDEX('Inputs'!$E$4:$E$6,MATCH(A591,'Inputs'!$A$4:$A$6,0))</x:f>
        <x:v>85</x:v>
      </x:c>
      <x:c r="H591" s="15" t="n">
        <x:f>D591*(1-E591)</x:f>
        <x:v>291.85</x:v>
      </x:c>
      <x:c r="I591" s="15" t="n">
        <x:f>F591+G591</x:f>
        <x:v>190</x:v>
      </x:c>
      <x:c r="J591" s="15" t="n">
        <x:f>H591-I591</x:f>
        <x:v>101.85000000000002</x:v>
      </x:c>
      <x:c r="K591" s="16" t="n">
        <x:f>IFERROR(J591/H591,0)</x:f>
        <x:v>0.34898064074010626</x:v>
      </x:c>
      <x:c r="L591" s="14" t="str">
        <x:f>IF(J591&gt;0,"Provisional positive contribution","Not viable")</x:f>
        <x:v>Provisional positive contribution</x:v>
      </x:c>
    </x:row>
    <x:row r="592">
      <x:c r="A592" s="14" t="str">
        <x:v>220gsm Cotton</x:v>
      </x:c>
      <x:c r="B592" s="14" t="n">
        <x:v>25</x:v>
      </x:c>
      <x:c r="C592" s="15" t="n">
        <x:v>599</x:v>
      </x:c>
      <x:c r="D592" s="15" t="n">
        <x:v>499</x:v>
      </x:c>
      <x:c r="E592" s="16" t="n">
        <x:v>0.2</x:v>
      </x:c>
      <x:c r="F592" s="15" t="n">
        <x:f>INDEX('Inputs'!$D$4:$D$6,MATCH(A592,'Inputs'!$A$4:$A$6,0))</x:f>
        <x:v>105</x:v>
      </x:c>
      <x:c r="G592" s="15" t="n">
        <x:f>INDEX('Inputs'!$E$4:$E$6,MATCH(A592,'Inputs'!$A$4:$A$6,0))</x:f>
        <x:v>85</x:v>
      </x:c>
      <x:c r="H592" s="15" t="n">
        <x:f>D592*(1-E592)</x:f>
        <x:v>399.20000000000005</x:v>
      </x:c>
      <x:c r="I592" s="15" t="n">
        <x:f>F592+G592</x:f>
        <x:v>190</x:v>
      </x:c>
      <x:c r="J592" s="15" t="n">
        <x:f>H592-I592</x:f>
        <x:v>209.20000000000005</x:v>
      </x:c>
      <x:c r="K592" s="16" t="n">
        <x:f>IFERROR(J592/H592,0)</x:f>
        <x:v>0.5240480961923848</x:v>
      </x:c>
      <x:c r="L592" s="14" t="str">
        <x:f>IF(J592&gt;0,"Provisional positive contribution","Not viable")</x:f>
        <x:v>Provisional positive contribution</x:v>
      </x:c>
    </x:row>
    <x:row r="593">
      <x:c r="A593" s="14" t="str">
        <x:v>220gsm Cotton</x:v>
      </x:c>
      <x:c r="B593" s="14" t="n">
        <x:v>25</x:v>
      </x:c>
      <x:c r="C593" s="15" t="n">
        <x:v>599</x:v>
      </x:c>
      <x:c r="D593" s="15" t="n">
        <x:v>499</x:v>
      </x:c>
      <x:c r="E593" s="16" t="n">
        <x:v>0.25</x:v>
      </x:c>
      <x:c r="F593" s="15" t="n">
        <x:f>INDEX('Inputs'!$D$4:$D$6,MATCH(A593,'Inputs'!$A$4:$A$6,0))</x:f>
        <x:v>105</x:v>
      </x:c>
      <x:c r="G593" s="15" t="n">
        <x:f>INDEX('Inputs'!$E$4:$E$6,MATCH(A593,'Inputs'!$A$4:$A$6,0))</x:f>
        <x:v>85</x:v>
      </x:c>
      <x:c r="H593" s="15" t="n">
        <x:f>D593*(1-E593)</x:f>
        <x:v>374.25</x:v>
      </x:c>
      <x:c r="I593" s="15" t="n">
        <x:f>F593+G593</x:f>
        <x:v>190</x:v>
      </x:c>
      <x:c r="J593" s="15" t="n">
        <x:f>H593-I593</x:f>
        <x:v>184.25</x:v>
      </x:c>
      <x:c r="K593" s="16" t="n">
        <x:f>IFERROR(J593/H593,0)</x:f>
        <x:v>0.4923179692718771</x:v>
      </x:c>
      <x:c r="L593" s="14" t="str">
        <x:f>IF(J593&gt;0,"Provisional positive contribution","Not viable")</x:f>
        <x:v>Provisional positive contribution</x:v>
      </x:c>
    </x:row>
    <x:row r="594">
      <x:c r="A594" s="14" t="str">
        <x:v>220gsm Cotton</x:v>
      </x:c>
      <x:c r="B594" s="14" t="n">
        <x:v>25</x:v>
      </x:c>
      <x:c r="C594" s="15" t="n">
        <x:v>599</x:v>
      </x:c>
      <x:c r="D594" s="15" t="n">
        <x:v>499</x:v>
      </x:c>
      <x:c r="E594" s="16" t="n">
        <x:v>0.3</x:v>
      </x:c>
      <x:c r="F594" s="15" t="n">
        <x:f>INDEX('Inputs'!$D$4:$D$6,MATCH(A594,'Inputs'!$A$4:$A$6,0))</x:f>
        <x:v>105</x:v>
      </x:c>
      <x:c r="G594" s="15" t="n">
        <x:f>INDEX('Inputs'!$E$4:$E$6,MATCH(A594,'Inputs'!$A$4:$A$6,0))</x:f>
        <x:v>85</x:v>
      </x:c>
      <x:c r="H594" s="15" t="n">
        <x:f>D594*(1-E594)</x:f>
        <x:v>349.29999999999995</x:v>
      </x:c>
      <x:c r="I594" s="15" t="n">
        <x:f>F594+G594</x:f>
        <x:v>190</x:v>
      </x:c>
      <x:c r="J594" s="15" t="n">
        <x:f>H594-I594</x:f>
        <x:v>159.29999999999995</x:v>
      </x:c>
      <x:c r="K594" s="16" t="n">
        <x:f>IFERROR(J594/H594,0)</x:f>
        <x:v>0.4560549670770111</x:v>
      </x:c>
      <x:c r="L594" s="14" t="str">
        <x:f>IF(J594&gt;0,"Provisional positive contribution","Not viable")</x:f>
        <x:v>Provisional positive contribution</x:v>
      </x:c>
    </x:row>
    <x:row r="595">
      <x:c r="A595" s="14" t="str">
        <x:v>220gsm Cotton</x:v>
      </x:c>
      <x:c r="B595" s="14" t="n">
        <x:v>25</x:v>
      </x:c>
      <x:c r="C595" s="15" t="n">
        <x:v>599</x:v>
      </x:c>
      <x:c r="D595" s="15" t="n">
        <x:v>499</x:v>
      </x:c>
      <x:c r="E595" s="16" t="n">
        <x:v>0.35</x:v>
      </x:c>
      <x:c r="F595" s="15" t="n">
        <x:f>INDEX('Inputs'!$D$4:$D$6,MATCH(A595,'Inputs'!$A$4:$A$6,0))</x:f>
        <x:v>105</x:v>
      </x:c>
      <x:c r="G595" s="15" t="n">
        <x:f>INDEX('Inputs'!$E$4:$E$6,MATCH(A595,'Inputs'!$A$4:$A$6,0))</x:f>
        <x:v>85</x:v>
      </x:c>
      <x:c r="H595" s="15" t="n">
        <x:f>D595*(1-E595)</x:f>
        <x:v>324.35</x:v>
      </x:c>
      <x:c r="I595" s="15" t="n">
        <x:f>F595+G595</x:f>
        <x:v>190</x:v>
      </x:c>
      <x:c r="J595" s="15" t="n">
        <x:f>H595-I595</x:f>
        <x:v>134.35000000000002</x:v>
      </x:c>
      <x:c r="K595" s="16" t="n">
        <x:f>IFERROR(J595/H595,0)</x:f>
        <x:v>0.4142130414675505</x:v>
      </x:c>
      <x:c r="L595" s="14" t="str">
        <x:f>IF(J595&gt;0,"Provisional positive contribution","Not viable")</x:f>
        <x:v>Provisional positive contribution</x:v>
      </x:c>
    </x:row>
    <x:row r="596">
      <x:c r="A596" s="14" t="str">
        <x:v>220gsm Cotton</x:v>
      </x:c>
      <x:c r="B596" s="14" t="n">
        <x:v>25</x:v>
      </x:c>
      <x:c r="C596" s="15" t="n">
        <x:v>649</x:v>
      </x:c>
      <x:c r="D596" s="15" t="n">
        <x:v>349</x:v>
      </x:c>
      <x:c r="E596" s="16" t="n">
        <x:v>0.2</x:v>
      </x:c>
      <x:c r="F596" s="15" t="n">
        <x:f>INDEX('Inputs'!$D$4:$D$6,MATCH(A596,'Inputs'!$A$4:$A$6,0))</x:f>
        <x:v>105</x:v>
      </x:c>
      <x:c r="G596" s="15" t="n">
        <x:f>INDEX('Inputs'!$E$4:$E$6,MATCH(A596,'Inputs'!$A$4:$A$6,0))</x:f>
        <x:v>85</x:v>
      </x:c>
      <x:c r="H596" s="15" t="n">
        <x:f>D596*(1-E596)</x:f>
        <x:v>279.2</x:v>
      </x:c>
      <x:c r="I596" s="15" t="n">
        <x:f>F596+G596</x:f>
        <x:v>190</x:v>
      </x:c>
      <x:c r="J596" s="15" t="n">
        <x:f>H596-I596</x:f>
        <x:v>89.19999999999999</x:v>
      </x:c>
      <x:c r="K596" s="16" t="n">
        <x:f>IFERROR(J596/H596,0)</x:f>
        <x:v>0.31948424068767906</x:v>
      </x:c>
      <x:c r="L596" s="14" t="str">
        <x:f>IF(J596&gt;0,"Provisional positive contribution","Not viable")</x:f>
        <x:v>Provisional positive contribution</x:v>
      </x:c>
    </x:row>
    <x:row r="597">
      <x:c r="A597" s="14" t="str">
        <x:v>220gsm Cotton</x:v>
      </x:c>
      <x:c r="B597" s="14" t="n">
        <x:v>25</x:v>
      </x:c>
      <x:c r="C597" s="15" t="n">
        <x:v>649</x:v>
      </x:c>
      <x:c r="D597" s="15" t="n">
        <x:v>349</x:v>
      </x:c>
      <x:c r="E597" s="16" t="n">
        <x:v>0.25</x:v>
      </x:c>
      <x:c r="F597" s="15" t="n">
        <x:f>INDEX('Inputs'!$D$4:$D$6,MATCH(A597,'Inputs'!$A$4:$A$6,0))</x:f>
        <x:v>105</x:v>
      </x:c>
      <x:c r="G597" s="15" t="n">
        <x:f>INDEX('Inputs'!$E$4:$E$6,MATCH(A597,'Inputs'!$A$4:$A$6,0))</x:f>
        <x:v>85</x:v>
      </x:c>
      <x:c r="H597" s="15" t="n">
        <x:f>D597*(1-E597)</x:f>
        <x:v>261.75</x:v>
      </x:c>
      <x:c r="I597" s="15" t="n">
        <x:f>F597+G597</x:f>
        <x:v>190</x:v>
      </x:c>
      <x:c r="J597" s="15" t="n">
        <x:f>H597-I597</x:f>
        <x:v>71.75</x:v>
      </x:c>
      <x:c r="K597" s="16" t="n">
        <x:f>IFERROR(J597/H597,0)</x:f>
        <x:v>0.27411652340019105</x:v>
      </x:c>
      <x:c r="L597" s="14" t="str">
        <x:f>IF(J597&gt;0,"Provisional positive contribution","Not viable")</x:f>
        <x:v>Provisional positive contribution</x:v>
      </x:c>
    </x:row>
    <x:row r="598">
      <x:c r="A598" s="14" t="str">
        <x:v>220gsm Cotton</x:v>
      </x:c>
      <x:c r="B598" s="14" t="n">
        <x:v>25</x:v>
      </x:c>
      <x:c r="C598" s="15" t="n">
        <x:v>649</x:v>
      </x:c>
      <x:c r="D598" s="15" t="n">
        <x:v>349</x:v>
      </x:c>
      <x:c r="E598" s="16" t="n">
        <x:v>0.3</x:v>
      </x:c>
      <x:c r="F598" s="15" t="n">
        <x:f>INDEX('Inputs'!$D$4:$D$6,MATCH(A598,'Inputs'!$A$4:$A$6,0))</x:f>
        <x:v>105</x:v>
      </x:c>
      <x:c r="G598" s="15" t="n">
        <x:f>INDEX('Inputs'!$E$4:$E$6,MATCH(A598,'Inputs'!$A$4:$A$6,0))</x:f>
        <x:v>85</x:v>
      </x:c>
      <x:c r="H598" s="15" t="n">
        <x:f>D598*(1-E598)</x:f>
        <x:v>244.29999999999998</x:v>
      </x:c>
      <x:c r="I598" s="15" t="n">
        <x:f>F598+G598</x:f>
        <x:v>190</x:v>
      </x:c>
      <x:c r="J598" s="15" t="n">
        <x:f>H598-I598</x:f>
        <x:v>54.29999999999998</x:v>
      </x:c>
      <x:c r="K598" s="16" t="n">
        <x:f>IFERROR(J598/H598,0)</x:f>
        <x:v>0.22226770364306175</x:v>
      </x:c>
      <x:c r="L598" s="14" t="str">
        <x:f>IF(J598&gt;0,"Provisional positive contribution","Not viable")</x:f>
        <x:v>Provisional positive contribution</x:v>
      </x:c>
    </x:row>
    <x:row r="599">
      <x:c r="A599" s="14" t="str">
        <x:v>220gsm Cotton</x:v>
      </x:c>
      <x:c r="B599" s="14" t="n">
        <x:v>25</x:v>
      </x:c>
      <x:c r="C599" s="15" t="n">
        <x:v>649</x:v>
      </x:c>
      <x:c r="D599" s="15" t="n">
        <x:v>349</x:v>
      </x:c>
      <x:c r="E599" s="16" t="n">
        <x:v>0.35</x:v>
      </x:c>
      <x:c r="F599" s="15" t="n">
        <x:f>INDEX('Inputs'!$D$4:$D$6,MATCH(A599,'Inputs'!$A$4:$A$6,0))</x:f>
        <x:v>105</x:v>
      </x:c>
      <x:c r="G599" s="15" t="n">
        <x:f>INDEX('Inputs'!$E$4:$E$6,MATCH(A599,'Inputs'!$A$4:$A$6,0))</x:f>
        <x:v>85</x:v>
      </x:c>
      <x:c r="H599" s="15" t="n">
        <x:f>D599*(1-E599)</x:f>
        <x:v>226.85</x:v>
      </x:c>
      <x:c r="I599" s="15" t="n">
        <x:f>F599+G599</x:f>
        <x:v>190</x:v>
      </x:c>
      <x:c r="J599" s="15" t="n">
        <x:f>H599-I599</x:f>
        <x:v>36.849999999999994</x:v>
      </x:c>
      <x:c r="K599" s="16" t="n">
        <x:f>IFERROR(J599/H599,0)</x:f>
        <x:v>0.16244214238483579</x:v>
      </x:c>
      <x:c r="L599" s="14" t="str">
        <x:f>IF(J599&gt;0,"Provisional positive contribution","Not viable")</x:f>
        <x:v>Provisional positive contribution</x:v>
      </x:c>
    </x:row>
    <x:row r="600">
      <x:c r="A600" s="14" t="str">
        <x:v>220gsm Cotton</x:v>
      </x:c>
      <x:c r="B600" s="14" t="n">
        <x:v>25</x:v>
      </x:c>
      <x:c r="C600" s="15" t="n">
        <x:v>649</x:v>
      </x:c>
      <x:c r="D600" s="15" t="n">
        <x:v>399</x:v>
      </x:c>
      <x:c r="E600" s="16" t="n">
        <x:v>0.2</x:v>
      </x:c>
      <x:c r="F600" s="15" t="n">
        <x:f>INDEX('Inputs'!$D$4:$D$6,MATCH(A600,'Inputs'!$A$4:$A$6,0))</x:f>
        <x:v>105</x:v>
      </x:c>
      <x:c r="G600" s="15" t="n">
        <x:f>INDEX('Inputs'!$E$4:$E$6,MATCH(A600,'Inputs'!$A$4:$A$6,0))</x:f>
        <x:v>85</x:v>
      </x:c>
      <x:c r="H600" s="15" t="n">
        <x:f>D600*(1-E600)</x:f>
        <x:v>319.20000000000005</x:v>
      </x:c>
      <x:c r="I600" s="15" t="n">
        <x:f>F600+G600</x:f>
        <x:v>190</x:v>
      </x:c>
      <x:c r="J600" s="15" t="n">
        <x:f>H600-I600</x:f>
        <x:v>129.20000000000005</x:v>
      </x:c>
      <x:c r="K600" s="16" t="n">
        <x:f>IFERROR(J600/H600,0)</x:f>
        <x:v>0.4047619047619048</x:v>
      </x:c>
      <x:c r="L600" s="14" t="str">
        <x:f>IF(J600&gt;0,"Provisional positive contribution","Not viable")</x:f>
        <x:v>Provisional positive contribution</x:v>
      </x:c>
    </x:row>
    <x:row r="601">
      <x:c r="A601" s="14" t="str">
        <x:v>220gsm Cotton</x:v>
      </x:c>
      <x:c r="B601" s="14" t="n">
        <x:v>25</x:v>
      </x:c>
      <x:c r="C601" s="15" t="n">
        <x:v>649</x:v>
      </x:c>
      <x:c r="D601" s="15" t="n">
        <x:v>399</x:v>
      </x:c>
      <x:c r="E601" s="16" t="n">
        <x:v>0.25</x:v>
      </x:c>
      <x:c r="F601" s="15" t="n">
        <x:f>INDEX('Inputs'!$D$4:$D$6,MATCH(A601,'Inputs'!$A$4:$A$6,0))</x:f>
        <x:v>105</x:v>
      </x:c>
      <x:c r="G601" s="15" t="n">
        <x:f>INDEX('Inputs'!$E$4:$E$6,MATCH(A601,'Inputs'!$A$4:$A$6,0))</x:f>
        <x:v>85</x:v>
      </x:c>
      <x:c r="H601" s="15" t="n">
        <x:f>D601*(1-E601)</x:f>
        <x:v>299.25</x:v>
      </x:c>
      <x:c r="I601" s="15" t="n">
        <x:f>F601+G601</x:f>
        <x:v>190</x:v>
      </x:c>
      <x:c r="J601" s="15" t="n">
        <x:f>H601-I601</x:f>
        <x:v>109.25</x:v>
      </x:c>
      <x:c r="K601" s="16" t="n">
        <x:f>IFERROR(J601/H601,0)</x:f>
        <x:v>0.36507936507936506</x:v>
      </x:c>
      <x:c r="L601" s="14" t="str">
        <x:f>IF(J601&gt;0,"Provisional positive contribution","Not viable")</x:f>
        <x:v>Provisional positive contribution</x:v>
      </x:c>
    </x:row>
    <x:row r="602">
      <x:c r="A602" s="14" t="str">
        <x:v>220gsm Cotton</x:v>
      </x:c>
      <x:c r="B602" s="14" t="n">
        <x:v>25</x:v>
      </x:c>
      <x:c r="C602" s="15" t="n">
        <x:v>649</x:v>
      </x:c>
      <x:c r="D602" s="15" t="n">
        <x:v>399</x:v>
      </x:c>
      <x:c r="E602" s="16" t="n">
        <x:v>0.3</x:v>
      </x:c>
      <x:c r="F602" s="15" t="n">
        <x:f>INDEX('Inputs'!$D$4:$D$6,MATCH(A602,'Inputs'!$A$4:$A$6,0))</x:f>
        <x:v>105</x:v>
      </x:c>
      <x:c r="G602" s="15" t="n">
        <x:f>INDEX('Inputs'!$E$4:$E$6,MATCH(A602,'Inputs'!$A$4:$A$6,0))</x:f>
        <x:v>85</x:v>
      </x:c>
      <x:c r="H602" s="15" t="n">
        <x:f>D602*(1-E602)</x:f>
        <x:v>279.29999999999995</x:v>
      </x:c>
      <x:c r="I602" s="15" t="n">
        <x:f>F602+G602</x:f>
        <x:v>190</x:v>
      </x:c>
      <x:c r="J602" s="15" t="n">
        <x:f>H602-I602</x:f>
        <x:v>89.29999999999995</x:v>
      </x:c>
      <x:c r="K602" s="16" t="n">
        <x:f>IFERROR(J602/H602,0)</x:f>
        <x:v>0.3197278911564625</x:v>
      </x:c>
      <x:c r="L602" s="14" t="str">
        <x:f>IF(J602&gt;0,"Provisional positive contribution","Not viable")</x:f>
        <x:v>Provisional positive contribution</x:v>
      </x:c>
    </x:row>
    <x:row r="603">
      <x:c r="A603" s="14" t="str">
        <x:v>220gsm Cotton</x:v>
      </x:c>
      <x:c r="B603" s="14" t="n">
        <x:v>25</x:v>
      </x:c>
      <x:c r="C603" s="15" t="n">
        <x:v>649</x:v>
      </x:c>
      <x:c r="D603" s="15" t="n">
        <x:v>399</x:v>
      </x:c>
      <x:c r="E603" s="16" t="n">
        <x:v>0.35</x:v>
      </x:c>
      <x:c r="F603" s="15" t="n">
        <x:f>INDEX('Inputs'!$D$4:$D$6,MATCH(A603,'Inputs'!$A$4:$A$6,0))</x:f>
        <x:v>105</x:v>
      </x:c>
      <x:c r="G603" s="15" t="n">
        <x:f>INDEX('Inputs'!$E$4:$E$6,MATCH(A603,'Inputs'!$A$4:$A$6,0))</x:f>
        <x:v>85</x:v>
      </x:c>
      <x:c r="H603" s="15" t="n">
        <x:f>D603*(1-E603)</x:f>
        <x:v>259.35</x:v>
      </x:c>
      <x:c r="I603" s="15" t="n">
        <x:f>F603+G603</x:f>
        <x:v>190</x:v>
      </x:c>
      <x:c r="J603" s="15" t="n">
        <x:f>H603-I603</x:f>
        <x:v>69.35000000000002</x:v>
      </x:c>
      <x:c r="K603" s="16" t="n">
        <x:f>IFERROR(J603/H603,0)</x:f>
        <x:v>0.26739926739926745</x:v>
      </x:c>
      <x:c r="L603" s="14" t="str">
        <x:f>IF(J603&gt;0,"Provisional positive contribution","Not viable")</x:f>
        <x:v>Provisional positive contribution</x:v>
      </x:c>
    </x:row>
    <x:row r="604">
      <x:c r="A604" s="14" t="str">
        <x:v>220gsm Cotton</x:v>
      </x:c>
      <x:c r="B604" s="14" t="n">
        <x:v>25</x:v>
      </x:c>
      <x:c r="C604" s="15" t="n">
        <x:v>649</x:v>
      </x:c>
      <x:c r="D604" s="15" t="n">
        <x:v>449</x:v>
      </x:c>
      <x:c r="E604" s="16" t="n">
        <x:v>0.2</x:v>
      </x:c>
      <x:c r="F604" s="15" t="n">
        <x:f>INDEX('Inputs'!$D$4:$D$6,MATCH(A604,'Inputs'!$A$4:$A$6,0))</x:f>
        <x:v>105</x:v>
      </x:c>
      <x:c r="G604" s="15" t="n">
        <x:f>INDEX('Inputs'!$E$4:$E$6,MATCH(A604,'Inputs'!$A$4:$A$6,0))</x:f>
        <x:v>85</x:v>
      </x:c>
      <x:c r="H604" s="15" t="n">
        <x:f>D604*(1-E604)</x:f>
        <x:v>359.20000000000005</x:v>
      </x:c>
      <x:c r="I604" s="15" t="n">
        <x:f>F604+G604</x:f>
        <x:v>190</x:v>
      </x:c>
      <x:c r="J604" s="15" t="n">
        <x:f>H604-I604</x:f>
        <x:v>169.20000000000005</x:v>
      </x:c>
      <x:c r="K604" s="16" t="n">
        <x:f>IFERROR(J604/H604,0)</x:f>
        <x:v>0.4710467706013364</x:v>
      </x:c>
      <x:c r="L604" s="14" t="str">
        <x:f>IF(J604&gt;0,"Provisional positive contribution","Not viable")</x:f>
        <x:v>Provisional positive contribution</x:v>
      </x:c>
    </x:row>
    <x:row r="605">
      <x:c r="A605" s="14" t="str">
        <x:v>220gsm Cotton</x:v>
      </x:c>
      <x:c r="B605" s="14" t="n">
        <x:v>25</x:v>
      </x:c>
      <x:c r="C605" s="15" t="n">
        <x:v>649</x:v>
      </x:c>
      <x:c r="D605" s="15" t="n">
        <x:v>449</x:v>
      </x:c>
      <x:c r="E605" s="16" t="n">
        <x:v>0.25</x:v>
      </x:c>
      <x:c r="F605" s="15" t="n">
        <x:f>INDEX('Inputs'!$D$4:$D$6,MATCH(A605,'Inputs'!$A$4:$A$6,0))</x:f>
        <x:v>105</x:v>
      </x:c>
      <x:c r="G605" s="15" t="n">
        <x:f>INDEX('Inputs'!$E$4:$E$6,MATCH(A605,'Inputs'!$A$4:$A$6,0))</x:f>
        <x:v>85</x:v>
      </x:c>
      <x:c r="H605" s="15" t="n">
        <x:f>D605*(1-E605)</x:f>
        <x:v>336.75</x:v>
      </x:c>
      <x:c r="I605" s="15" t="n">
        <x:f>F605+G605</x:f>
        <x:v>190</x:v>
      </x:c>
      <x:c r="J605" s="15" t="n">
        <x:f>H605-I605</x:f>
        <x:v>146.75</x:v>
      </x:c>
      <x:c r="K605" s="16" t="n">
        <x:f>IFERROR(J605/H605,0)</x:f>
        <x:v>0.4357832219747587</x:v>
      </x:c>
      <x:c r="L605" s="14" t="str">
        <x:f>IF(J605&gt;0,"Provisional positive contribution","Not viable")</x:f>
        <x:v>Provisional positive contribution</x:v>
      </x:c>
    </x:row>
    <x:row r="606">
      <x:c r="A606" s="14" t="str">
        <x:v>220gsm Cotton</x:v>
      </x:c>
      <x:c r="B606" s="14" t="n">
        <x:v>25</x:v>
      </x:c>
      <x:c r="C606" s="15" t="n">
        <x:v>649</x:v>
      </x:c>
      <x:c r="D606" s="15" t="n">
        <x:v>449</x:v>
      </x:c>
      <x:c r="E606" s="16" t="n">
        <x:v>0.3</x:v>
      </x:c>
      <x:c r="F606" s="15" t="n">
        <x:f>INDEX('Inputs'!$D$4:$D$6,MATCH(A606,'Inputs'!$A$4:$A$6,0))</x:f>
        <x:v>105</x:v>
      </x:c>
      <x:c r="G606" s="15" t="n">
        <x:f>INDEX('Inputs'!$E$4:$E$6,MATCH(A606,'Inputs'!$A$4:$A$6,0))</x:f>
        <x:v>85</x:v>
      </x:c>
      <x:c r="H606" s="15" t="n">
        <x:f>D606*(1-E606)</x:f>
        <x:v>314.29999999999995</x:v>
      </x:c>
      <x:c r="I606" s="15" t="n">
        <x:f>F606+G606</x:f>
        <x:v>190</x:v>
      </x:c>
      <x:c r="J606" s="15" t="n">
        <x:f>H606-I606</x:f>
        <x:v>124.29999999999995</x:v>
      </x:c>
      <x:c r="K606" s="16" t="n">
        <x:f>IFERROR(J606/H606,0)</x:f>
        <x:v>0.3954820235443843</x:v>
      </x:c>
      <x:c r="L606" s="14" t="str">
        <x:f>IF(J606&gt;0,"Provisional positive contribution","Not viable")</x:f>
        <x:v>Provisional positive contribution</x:v>
      </x:c>
    </x:row>
    <x:row r="607">
      <x:c r="A607" s="14" t="str">
        <x:v>220gsm Cotton</x:v>
      </x:c>
      <x:c r="B607" s="14" t="n">
        <x:v>25</x:v>
      </x:c>
      <x:c r="C607" s="15" t="n">
        <x:v>649</x:v>
      </x:c>
      <x:c r="D607" s="15" t="n">
        <x:v>449</x:v>
      </x:c>
      <x:c r="E607" s="16" t="n">
        <x:v>0.35</x:v>
      </x:c>
      <x:c r="F607" s="15" t="n">
        <x:f>INDEX('Inputs'!$D$4:$D$6,MATCH(A607,'Inputs'!$A$4:$A$6,0))</x:f>
        <x:v>105</x:v>
      </x:c>
      <x:c r="G607" s="15" t="n">
        <x:f>INDEX('Inputs'!$E$4:$E$6,MATCH(A607,'Inputs'!$A$4:$A$6,0))</x:f>
        <x:v>85</x:v>
      </x:c>
      <x:c r="H607" s="15" t="n">
        <x:f>D607*(1-E607)</x:f>
        <x:v>291.85</x:v>
      </x:c>
      <x:c r="I607" s="15" t="n">
        <x:f>F607+G607</x:f>
        <x:v>190</x:v>
      </x:c>
      <x:c r="J607" s="15" t="n">
        <x:f>H607-I607</x:f>
        <x:v>101.85000000000002</x:v>
      </x:c>
      <x:c r="K607" s="16" t="n">
        <x:f>IFERROR(J607/H607,0)</x:f>
        <x:v>0.34898064074010626</x:v>
      </x:c>
      <x:c r="L607" s="14" t="str">
        <x:f>IF(J607&gt;0,"Provisional positive contribution","Not viable")</x:f>
        <x:v>Provisional positive contribution</x:v>
      </x:c>
    </x:row>
    <x:row r="608">
      <x:c r="A608" s="14" t="str">
        <x:v>220gsm Cotton</x:v>
      </x:c>
      <x:c r="B608" s="14" t="n">
        <x:v>25</x:v>
      </x:c>
      <x:c r="C608" s="15" t="n">
        <x:v>649</x:v>
      </x:c>
      <x:c r="D608" s="15" t="n">
        <x:v>499</x:v>
      </x:c>
      <x:c r="E608" s="16" t="n">
        <x:v>0.2</x:v>
      </x:c>
      <x:c r="F608" s="15" t="n">
        <x:f>INDEX('Inputs'!$D$4:$D$6,MATCH(A608,'Inputs'!$A$4:$A$6,0))</x:f>
        <x:v>105</x:v>
      </x:c>
      <x:c r="G608" s="15" t="n">
        <x:f>INDEX('Inputs'!$E$4:$E$6,MATCH(A608,'Inputs'!$A$4:$A$6,0))</x:f>
        <x:v>85</x:v>
      </x:c>
      <x:c r="H608" s="15" t="n">
        <x:f>D608*(1-E608)</x:f>
        <x:v>399.20000000000005</x:v>
      </x:c>
      <x:c r="I608" s="15" t="n">
        <x:f>F608+G608</x:f>
        <x:v>190</x:v>
      </x:c>
      <x:c r="J608" s="15" t="n">
        <x:f>H608-I608</x:f>
        <x:v>209.20000000000005</x:v>
      </x:c>
      <x:c r="K608" s="16" t="n">
        <x:f>IFERROR(J608/H608,0)</x:f>
        <x:v>0.5240480961923848</x:v>
      </x:c>
      <x:c r="L608" s="14" t="str">
        <x:f>IF(J608&gt;0,"Provisional positive contribution","Not viable")</x:f>
        <x:v>Provisional positive contribution</x:v>
      </x:c>
    </x:row>
    <x:row r="609">
      <x:c r="A609" s="14" t="str">
        <x:v>220gsm Cotton</x:v>
      </x:c>
      <x:c r="B609" s="14" t="n">
        <x:v>25</x:v>
      </x:c>
      <x:c r="C609" s="15" t="n">
        <x:v>649</x:v>
      </x:c>
      <x:c r="D609" s="15" t="n">
        <x:v>499</x:v>
      </x:c>
      <x:c r="E609" s="16" t="n">
        <x:v>0.25</x:v>
      </x:c>
      <x:c r="F609" s="15" t="n">
        <x:f>INDEX('Inputs'!$D$4:$D$6,MATCH(A609,'Inputs'!$A$4:$A$6,0))</x:f>
        <x:v>105</x:v>
      </x:c>
      <x:c r="G609" s="15" t="n">
        <x:f>INDEX('Inputs'!$E$4:$E$6,MATCH(A609,'Inputs'!$A$4:$A$6,0))</x:f>
        <x:v>85</x:v>
      </x:c>
      <x:c r="H609" s="15" t="n">
        <x:f>D609*(1-E609)</x:f>
        <x:v>374.25</x:v>
      </x:c>
      <x:c r="I609" s="15" t="n">
        <x:f>F609+G609</x:f>
        <x:v>190</x:v>
      </x:c>
      <x:c r="J609" s="15" t="n">
        <x:f>H609-I609</x:f>
        <x:v>184.25</x:v>
      </x:c>
      <x:c r="K609" s="16" t="n">
        <x:f>IFERROR(J609/H609,0)</x:f>
        <x:v>0.4923179692718771</x:v>
      </x:c>
      <x:c r="L609" s="14" t="str">
        <x:f>IF(J609&gt;0,"Provisional positive contribution","Not viable")</x:f>
        <x:v>Provisional positive contribution</x:v>
      </x:c>
    </x:row>
    <x:row r="610">
      <x:c r="A610" s="14" t="str">
        <x:v>220gsm Cotton</x:v>
      </x:c>
      <x:c r="B610" s="14" t="n">
        <x:v>25</x:v>
      </x:c>
      <x:c r="C610" s="15" t="n">
        <x:v>649</x:v>
      </x:c>
      <x:c r="D610" s="15" t="n">
        <x:v>499</x:v>
      </x:c>
      <x:c r="E610" s="16" t="n">
        <x:v>0.3</x:v>
      </x:c>
      <x:c r="F610" s="15" t="n">
        <x:f>INDEX('Inputs'!$D$4:$D$6,MATCH(A610,'Inputs'!$A$4:$A$6,0))</x:f>
        <x:v>105</x:v>
      </x:c>
      <x:c r="G610" s="15" t="n">
        <x:f>INDEX('Inputs'!$E$4:$E$6,MATCH(A610,'Inputs'!$A$4:$A$6,0))</x:f>
        <x:v>85</x:v>
      </x:c>
      <x:c r="H610" s="15" t="n">
        <x:f>D610*(1-E610)</x:f>
        <x:v>349.29999999999995</x:v>
      </x:c>
      <x:c r="I610" s="15" t="n">
        <x:f>F610+G610</x:f>
        <x:v>190</x:v>
      </x:c>
      <x:c r="J610" s="15" t="n">
        <x:f>H610-I610</x:f>
        <x:v>159.29999999999995</x:v>
      </x:c>
      <x:c r="K610" s="16" t="n">
        <x:f>IFERROR(J610/H610,0)</x:f>
        <x:v>0.4560549670770111</x:v>
      </x:c>
      <x:c r="L610" s="14" t="str">
        <x:f>IF(J610&gt;0,"Provisional positive contribution","Not viable")</x:f>
        <x:v>Provisional positive contribution</x:v>
      </x:c>
    </x:row>
    <x:row r="611">
      <x:c r="A611" s="14" t="str">
        <x:v>220gsm Cotton</x:v>
      </x:c>
      <x:c r="B611" s="14" t="n">
        <x:v>25</x:v>
      </x:c>
      <x:c r="C611" s="15" t="n">
        <x:v>649</x:v>
      </x:c>
      <x:c r="D611" s="15" t="n">
        <x:v>499</x:v>
      </x:c>
      <x:c r="E611" s="16" t="n">
        <x:v>0.35</x:v>
      </x:c>
      <x:c r="F611" s="15" t="n">
        <x:f>INDEX('Inputs'!$D$4:$D$6,MATCH(A611,'Inputs'!$A$4:$A$6,0))</x:f>
        <x:v>105</x:v>
      </x:c>
      <x:c r="G611" s="15" t="n">
        <x:f>INDEX('Inputs'!$E$4:$E$6,MATCH(A611,'Inputs'!$A$4:$A$6,0))</x:f>
        <x:v>85</x:v>
      </x:c>
      <x:c r="H611" s="15" t="n">
        <x:f>D611*(1-E611)</x:f>
        <x:v>324.35</x:v>
      </x:c>
      <x:c r="I611" s="15" t="n">
        <x:f>F611+G611</x:f>
        <x:v>190</x:v>
      </x:c>
      <x:c r="J611" s="15" t="n">
        <x:f>H611-I611</x:f>
        <x:v>134.35000000000002</x:v>
      </x:c>
      <x:c r="K611" s="16" t="n">
        <x:f>IFERROR(J611/H611,0)</x:f>
        <x:v>0.4142130414675505</x:v>
      </x:c>
      <x:c r="L611" s="14" t="str">
        <x:f>IF(J611&gt;0,"Provisional positive contribution","Not viable")</x:f>
        <x:v>Provisional positive contribution</x:v>
      </x:c>
    </x:row>
    <x:row r="612">
      <x:c r="A612" s="14" t="str">
        <x:v>220gsm Cotton</x:v>
      </x:c>
      <x:c r="B612" s="14" t="n">
        <x:v>25</x:v>
      </x:c>
      <x:c r="C612" s="15" t="n">
        <x:v>699</x:v>
      </x:c>
      <x:c r="D612" s="15" t="n">
        <x:v>349</x:v>
      </x:c>
      <x:c r="E612" s="16" t="n">
        <x:v>0.2</x:v>
      </x:c>
      <x:c r="F612" s="15" t="n">
        <x:f>INDEX('Inputs'!$D$4:$D$6,MATCH(A612,'Inputs'!$A$4:$A$6,0))</x:f>
        <x:v>105</x:v>
      </x:c>
      <x:c r="G612" s="15" t="n">
        <x:f>INDEX('Inputs'!$E$4:$E$6,MATCH(A612,'Inputs'!$A$4:$A$6,0))</x:f>
        <x:v>85</x:v>
      </x:c>
      <x:c r="H612" s="15" t="n">
        <x:f>D612*(1-E612)</x:f>
        <x:v>279.2</x:v>
      </x:c>
      <x:c r="I612" s="15" t="n">
        <x:f>F612+G612</x:f>
        <x:v>190</x:v>
      </x:c>
      <x:c r="J612" s="15" t="n">
        <x:f>H612-I612</x:f>
        <x:v>89.19999999999999</x:v>
      </x:c>
      <x:c r="K612" s="16" t="n">
        <x:f>IFERROR(J612/H612,0)</x:f>
        <x:v>0.31948424068767906</x:v>
      </x:c>
      <x:c r="L612" s="14" t="str">
        <x:f>IF(J612&gt;0,"Provisional positive contribution","Not viable")</x:f>
        <x:v>Provisional positive contribution</x:v>
      </x:c>
    </x:row>
    <x:row r="613">
      <x:c r="A613" s="14" t="str">
        <x:v>220gsm Cotton</x:v>
      </x:c>
      <x:c r="B613" s="14" t="n">
        <x:v>25</x:v>
      </x:c>
      <x:c r="C613" s="15" t="n">
        <x:v>699</x:v>
      </x:c>
      <x:c r="D613" s="15" t="n">
        <x:v>349</x:v>
      </x:c>
      <x:c r="E613" s="16" t="n">
        <x:v>0.25</x:v>
      </x:c>
      <x:c r="F613" s="15" t="n">
        <x:f>INDEX('Inputs'!$D$4:$D$6,MATCH(A613,'Inputs'!$A$4:$A$6,0))</x:f>
        <x:v>105</x:v>
      </x:c>
      <x:c r="G613" s="15" t="n">
        <x:f>INDEX('Inputs'!$E$4:$E$6,MATCH(A613,'Inputs'!$A$4:$A$6,0))</x:f>
        <x:v>85</x:v>
      </x:c>
      <x:c r="H613" s="15" t="n">
        <x:f>D613*(1-E613)</x:f>
        <x:v>261.75</x:v>
      </x:c>
      <x:c r="I613" s="15" t="n">
        <x:f>F613+G613</x:f>
        <x:v>190</x:v>
      </x:c>
      <x:c r="J613" s="15" t="n">
        <x:f>H613-I613</x:f>
        <x:v>71.75</x:v>
      </x:c>
      <x:c r="K613" s="16" t="n">
        <x:f>IFERROR(J613/H613,0)</x:f>
        <x:v>0.27411652340019105</x:v>
      </x:c>
      <x:c r="L613" s="14" t="str">
        <x:f>IF(J613&gt;0,"Provisional positive contribution","Not viable")</x:f>
        <x:v>Provisional positive contribution</x:v>
      </x:c>
    </x:row>
    <x:row r="614">
      <x:c r="A614" s="14" t="str">
        <x:v>220gsm Cotton</x:v>
      </x:c>
      <x:c r="B614" s="14" t="n">
        <x:v>25</x:v>
      </x:c>
      <x:c r="C614" s="15" t="n">
        <x:v>699</x:v>
      </x:c>
      <x:c r="D614" s="15" t="n">
        <x:v>349</x:v>
      </x:c>
      <x:c r="E614" s="16" t="n">
        <x:v>0.3</x:v>
      </x:c>
      <x:c r="F614" s="15" t="n">
        <x:f>INDEX('Inputs'!$D$4:$D$6,MATCH(A614,'Inputs'!$A$4:$A$6,0))</x:f>
        <x:v>105</x:v>
      </x:c>
      <x:c r="G614" s="15" t="n">
        <x:f>INDEX('Inputs'!$E$4:$E$6,MATCH(A614,'Inputs'!$A$4:$A$6,0))</x:f>
        <x:v>85</x:v>
      </x:c>
      <x:c r="H614" s="15" t="n">
        <x:f>D614*(1-E614)</x:f>
        <x:v>244.29999999999998</x:v>
      </x:c>
      <x:c r="I614" s="15" t="n">
        <x:f>F614+G614</x:f>
        <x:v>190</x:v>
      </x:c>
      <x:c r="J614" s="15" t="n">
        <x:f>H614-I614</x:f>
        <x:v>54.29999999999998</x:v>
      </x:c>
      <x:c r="K614" s="16" t="n">
        <x:f>IFERROR(J614/H614,0)</x:f>
        <x:v>0.22226770364306175</x:v>
      </x:c>
      <x:c r="L614" s="14" t="str">
        <x:f>IF(J614&gt;0,"Provisional positive contribution","Not viable")</x:f>
        <x:v>Provisional positive contribution</x:v>
      </x:c>
    </x:row>
    <x:row r="615">
      <x:c r="A615" s="14" t="str">
        <x:v>220gsm Cotton</x:v>
      </x:c>
      <x:c r="B615" s="14" t="n">
        <x:v>25</x:v>
      </x:c>
      <x:c r="C615" s="15" t="n">
        <x:v>699</x:v>
      </x:c>
      <x:c r="D615" s="15" t="n">
        <x:v>349</x:v>
      </x:c>
      <x:c r="E615" s="16" t="n">
        <x:v>0.35</x:v>
      </x:c>
      <x:c r="F615" s="15" t="n">
        <x:f>INDEX('Inputs'!$D$4:$D$6,MATCH(A615,'Inputs'!$A$4:$A$6,0))</x:f>
        <x:v>105</x:v>
      </x:c>
      <x:c r="G615" s="15" t="n">
        <x:f>INDEX('Inputs'!$E$4:$E$6,MATCH(A615,'Inputs'!$A$4:$A$6,0))</x:f>
        <x:v>85</x:v>
      </x:c>
      <x:c r="H615" s="15" t="n">
        <x:f>D615*(1-E615)</x:f>
        <x:v>226.85</x:v>
      </x:c>
      <x:c r="I615" s="15" t="n">
        <x:f>F615+G615</x:f>
        <x:v>190</x:v>
      </x:c>
      <x:c r="J615" s="15" t="n">
        <x:f>H615-I615</x:f>
        <x:v>36.849999999999994</x:v>
      </x:c>
      <x:c r="K615" s="16" t="n">
        <x:f>IFERROR(J615/H615,0)</x:f>
        <x:v>0.16244214238483579</x:v>
      </x:c>
      <x:c r="L615" s="14" t="str">
        <x:f>IF(J615&gt;0,"Provisional positive contribution","Not viable")</x:f>
        <x:v>Provisional positive contribution</x:v>
      </x:c>
    </x:row>
    <x:row r="616">
      <x:c r="A616" s="14" t="str">
        <x:v>220gsm Cotton</x:v>
      </x:c>
      <x:c r="B616" s="14" t="n">
        <x:v>25</x:v>
      </x:c>
      <x:c r="C616" s="15" t="n">
        <x:v>699</x:v>
      </x:c>
      <x:c r="D616" s="15" t="n">
        <x:v>399</x:v>
      </x:c>
      <x:c r="E616" s="16" t="n">
        <x:v>0.2</x:v>
      </x:c>
      <x:c r="F616" s="15" t="n">
        <x:f>INDEX('Inputs'!$D$4:$D$6,MATCH(A616,'Inputs'!$A$4:$A$6,0))</x:f>
        <x:v>105</x:v>
      </x:c>
      <x:c r="G616" s="15" t="n">
        <x:f>INDEX('Inputs'!$E$4:$E$6,MATCH(A616,'Inputs'!$A$4:$A$6,0))</x:f>
        <x:v>85</x:v>
      </x:c>
      <x:c r="H616" s="15" t="n">
        <x:f>D616*(1-E616)</x:f>
        <x:v>319.20000000000005</x:v>
      </x:c>
      <x:c r="I616" s="15" t="n">
        <x:f>F616+G616</x:f>
        <x:v>190</x:v>
      </x:c>
      <x:c r="J616" s="15" t="n">
        <x:f>H616-I616</x:f>
        <x:v>129.20000000000005</x:v>
      </x:c>
      <x:c r="K616" s="16" t="n">
        <x:f>IFERROR(J616/H616,0)</x:f>
        <x:v>0.4047619047619048</x:v>
      </x:c>
      <x:c r="L616" s="14" t="str">
        <x:f>IF(J616&gt;0,"Provisional positive contribution","Not viable")</x:f>
        <x:v>Provisional positive contribution</x:v>
      </x:c>
    </x:row>
    <x:row r="617">
      <x:c r="A617" s="14" t="str">
        <x:v>220gsm Cotton</x:v>
      </x:c>
      <x:c r="B617" s="14" t="n">
        <x:v>25</x:v>
      </x:c>
      <x:c r="C617" s="15" t="n">
        <x:v>699</x:v>
      </x:c>
      <x:c r="D617" s="15" t="n">
        <x:v>399</x:v>
      </x:c>
      <x:c r="E617" s="16" t="n">
        <x:v>0.25</x:v>
      </x:c>
      <x:c r="F617" s="15" t="n">
        <x:f>INDEX('Inputs'!$D$4:$D$6,MATCH(A617,'Inputs'!$A$4:$A$6,0))</x:f>
        <x:v>105</x:v>
      </x:c>
      <x:c r="G617" s="15" t="n">
        <x:f>INDEX('Inputs'!$E$4:$E$6,MATCH(A617,'Inputs'!$A$4:$A$6,0))</x:f>
        <x:v>85</x:v>
      </x:c>
      <x:c r="H617" s="15" t="n">
        <x:f>D617*(1-E617)</x:f>
        <x:v>299.25</x:v>
      </x:c>
      <x:c r="I617" s="15" t="n">
        <x:f>F617+G617</x:f>
        <x:v>190</x:v>
      </x:c>
      <x:c r="J617" s="15" t="n">
        <x:f>H617-I617</x:f>
        <x:v>109.25</x:v>
      </x:c>
      <x:c r="K617" s="16" t="n">
        <x:f>IFERROR(J617/H617,0)</x:f>
        <x:v>0.36507936507936506</x:v>
      </x:c>
      <x:c r="L617" s="14" t="str">
        <x:f>IF(J617&gt;0,"Provisional positive contribution","Not viable")</x:f>
        <x:v>Provisional positive contribution</x:v>
      </x:c>
    </x:row>
    <x:row r="618">
      <x:c r="A618" s="14" t="str">
        <x:v>220gsm Cotton</x:v>
      </x:c>
      <x:c r="B618" s="14" t="n">
        <x:v>25</x:v>
      </x:c>
      <x:c r="C618" s="15" t="n">
        <x:v>699</x:v>
      </x:c>
      <x:c r="D618" s="15" t="n">
        <x:v>399</x:v>
      </x:c>
      <x:c r="E618" s="16" t="n">
        <x:v>0.3</x:v>
      </x:c>
      <x:c r="F618" s="15" t="n">
        <x:f>INDEX('Inputs'!$D$4:$D$6,MATCH(A618,'Inputs'!$A$4:$A$6,0))</x:f>
        <x:v>105</x:v>
      </x:c>
      <x:c r="G618" s="15" t="n">
        <x:f>INDEX('Inputs'!$E$4:$E$6,MATCH(A618,'Inputs'!$A$4:$A$6,0))</x:f>
        <x:v>85</x:v>
      </x:c>
      <x:c r="H618" s="15" t="n">
        <x:f>D618*(1-E618)</x:f>
        <x:v>279.29999999999995</x:v>
      </x:c>
      <x:c r="I618" s="15" t="n">
        <x:f>F618+G618</x:f>
        <x:v>190</x:v>
      </x:c>
      <x:c r="J618" s="15" t="n">
        <x:f>H618-I618</x:f>
        <x:v>89.29999999999995</x:v>
      </x:c>
      <x:c r="K618" s="16" t="n">
        <x:f>IFERROR(J618/H618,0)</x:f>
        <x:v>0.3197278911564625</x:v>
      </x:c>
      <x:c r="L618" s="14" t="str">
        <x:f>IF(J618&gt;0,"Provisional positive contribution","Not viable")</x:f>
        <x:v>Provisional positive contribution</x:v>
      </x:c>
    </x:row>
    <x:row r="619">
      <x:c r="A619" s="14" t="str">
        <x:v>220gsm Cotton</x:v>
      </x:c>
      <x:c r="B619" s="14" t="n">
        <x:v>25</x:v>
      </x:c>
      <x:c r="C619" s="15" t="n">
        <x:v>699</x:v>
      </x:c>
      <x:c r="D619" s="15" t="n">
        <x:v>399</x:v>
      </x:c>
      <x:c r="E619" s="16" t="n">
        <x:v>0.35</x:v>
      </x:c>
      <x:c r="F619" s="15" t="n">
        <x:f>INDEX('Inputs'!$D$4:$D$6,MATCH(A619,'Inputs'!$A$4:$A$6,0))</x:f>
        <x:v>105</x:v>
      </x:c>
      <x:c r="G619" s="15" t="n">
        <x:f>INDEX('Inputs'!$E$4:$E$6,MATCH(A619,'Inputs'!$A$4:$A$6,0))</x:f>
        <x:v>85</x:v>
      </x:c>
      <x:c r="H619" s="15" t="n">
        <x:f>D619*(1-E619)</x:f>
        <x:v>259.35</x:v>
      </x:c>
      <x:c r="I619" s="15" t="n">
        <x:f>F619+G619</x:f>
        <x:v>190</x:v>
      </x:c>
      <x:c r="J619" s="15" t="n">
        <x:f>H619-I619</x:f>
        <x:v>69.35000000000002</x:v>
      </x:c>
      <x:c r="K619" s="16" t="n">
        <x:f>IFERROR(J619/H619,0)</x:f>
        <x:v>0.26739926739926745</x:v>
      </x:c>
      <x:c r="L619" s="14" t="str">
        <x:f>IF(J619&gt;0,"Provisional positive contribution","Not viable")</x:f>
        <x:v>Provisional positive contribution</x:v>
      </x:c>
    </x:row>
    <x:row r="620">
      <x:c r="A620" s="14" t="str">
        <x:v>220gsm Cotton</x:v>
      </x:c>
      <x:c r="B620" s="14" t="n">
        <x:v>25</x:v>
      </x:c>
      <x:c r="C620" s="15" t="n">
        <x:v>699</x:v>
      </x:c>
      <x:c r="D620" s="15" t="n">
        <x:v>449</x:v>
      </x:c>
      <x:c r="E620" s="16" t="n">
        <x:v>0.2</x:v>
      </x:c>
      <x:c r="F620" s="15" t="n">
        <x:f>INDEX('Inputs'!$D$4:$D$6,MATCH(A620,'Inputs'!$A$4:$A$6,0))</x:f>
        <x:v>105</x:v>
      </x:c>
      <x:c r="G620" s="15" t="n">
        <x:f>INDEX('Inputs'!$E$4:$E$6,MATCH(A620,'Inputs'!$A$4:$A$6,0))</x:f>
        <x:v>85</x:v>
      </x:c>
      <x:c r="H620" s="15" t="n">
        <x:f>D620*(1-E620)</x:f>
        <x:v>359.20000000000005</x:v>
      </x:c>
      <x:c r="I620" s="15" t="n">
        <x:f>F620+G620</x:f>
        <x:v>190</x:v>
      </x:c>
      <x:c r="J620" s="15" t="n">
        <x:f>H620-I620</x:f>
        <x:v>169.20000000000005</x:v>
      </x:c>
      <x:c r="K620" s="16" t="n">
        <x:f>IFERROR(J620/H620,0)</x:f>
        <x:v>0.4710467706013364</x:v>
      </x:c>
      <x:c r="L620" s="14" t="str">
        <x:f>IF(J620&gt;0,"Provisional positive contribution","Not viable")</x:f>
        <x:v>Provisional positive contribution</x:v>
      </x:c>
    </x:row>
    <x:row r="621">
      <x:c r="A621" s="14" t="str">
        <x:v>220gsm Cotton</x:v>
      </x:c>
      <x:c r="B621" s="14" t="n">
        <x:v>25</x:v>
      </x:c>
      <x:c r="C621" s="15" t="n">
        <x:v>699</x:v>
      </x:c>
      <x:c r="D621" s="15" t="n">
        <x:v>449</x:v>
      </x:c>
      <x:c r="E621" s="16" t="n">
        <x:v>0.25</x:v>
      </x:c>
      <x:c r="F621" s="15" t="n">
        <x:f>INDEX('Inputs'!$D$4:$D$6,MATCH(A621,'Inputs'!$A$4:$A$6,0))</x:f>
        <x:v>105</x:v>
      </x:c>
      <x:c r="G621" s="15" t="n">
        <x:f>INDEX('Inputs'!$E$4:$E$6,MATCH(A621,'Inputs'!$A$4:$A$6,0))</x:f>
        <x:v>85</x:v>
      </x:c>
      <x:c r="H621" s="15" t="n">
        <x:f>D621*(1-E621)</x:f>
        <x:v>336.75</x:v>
      </x:c>
      <x:c r="I621" s="15" t="n">
        <x:f>F621+G621</x:f>
        <x:v>190</x:v>
      </x:c>
      <x:c r="J621" s="15" t="n">
        <x:f>H621-I621</x:f>
        <x:v>146.75</x:v>
      </x:c>
      <x:c r="K621" s="16" t="n">
        <x:f>IFERROR(J621/H621,0)</x:f>
        <x:v>0.4357832219747587</x:v>
      </x:c>
      <x:c r="L621" s="14" t="str">
        <x:f>IF(J621&gt;0,"Provisional positive contribution","Not viable")</x:f>
        <x:v>Provisional positive contribution</x:v>
      </x:c>
    </x:row>
    <x:row r="622">
      <x:c r="A622" s="14" t="str">
        <x:v>220gsm Cotton</x:v>
      </x:c>
      <x:c r="B622" s="14" t="n">
        <x:v>25</x:v>
      </x:c>
      <x:c r="C622" s="15" t="n">
        <x:v>699</x:v>
      </x:c>
      <x:c r="D622" s="15" t="n">
        <x:v>449</x:v>
      </x:c>
      <x:c r="E622" s="16" t="n">
        <x:v>0.3</x:v>
      </x:c>
      <x:c r="F622" s="15" t="n">
        <x:f>INDEX('Inputs'!$D$4:$D$6,MATCH(A622,'Inputs'!$A$4:$A$6,0))</x:f>
        <x:v>105</x:v>
      </x:c>
      <x:c r="G622" s="15" t="n">
        <x:f>INDEX('Inputs'!$E$4:$E$6,MATCH(A622,'Inputs'!$A$4:$A$6,0))</x:f>
        <x:v>85</x:v>
      </x:c>
      <x:c r="H622" s="15" t="n">
        <x:f>D622*(1-E622)</x:f>
        <x:v>314.29999999999995</x:v>
      </x:c>
      <x:c r="I622" s="15" t="n">
        <x:f>F622+G622</x:f>
        <x:v>190</x:v>
      </x:c>
      <x:c r="J622" s="15" t="n">
        <x:f>H622-I622</x:f>
        <x:v>124.29999999999995</x:v>
      </x:c>
      <x:c r="K622" s="16" t="n">
        <x:f>IFERROR(J622/H622,0)</x:f>
        <x:v>0.3954820235443843</x:v>
      </x:c>
      <x:c r="L622" s="14" t="str">
        <x:f>IF(J622&gt;0,"Provisional positive contribution","Not viable")</x:f>
        <x:v>Provisional positive contribution</x:v>
      </x:c>
    </x:row>
    <x:row r="623">
      <x:c r="A623" s="14" t="str">
        <x:v>220gsm Cotton</x:v>
      </x:c>
      <x:c r="B623" s="14" t="n">
        <x:v>25</x:v>
      </x:c>
      <x:c r="C623" s="15" t="n">
        <x:v>699</x:v>
      </x:c>
      <x:c r="D623" s="15" t="n">
        <x:v>449</x:v>
      </x:c>
      <x:c r="E623" s="16" t="n">
        <x:v>0.35</x:v>
      </x:c>
      <x:c r="F623" s="15" t="n">
        <x:f>INDEX('Inputs'!$D$4:$D$6,MATCH(A623,'Inputs'!$A$4:$A$6,0))</x:f>
        <x:v>105</x:v>
      </x:c>
      <x:c r="G623" s="15" t="n">
        <x:f>INDEX('Inputs'!$E$4:$E$6,MATCH(A623,'Inputs'!$A$4:$A$6,0))</x:f>
        <x:v>85</x:v>
      </x:c>
      <x:c r="H623" s="15" t="n">
        <x:f>D623*(1-E623)</x:f>
        <x:v>291.85</x:v>
      </x:c>
      <x:c r="I623" s="15" t="n">
        <x:f>F623+G623</x:f>
        <x:v>190</x:v>
      </x:c>
      <x:c r="J623" s="15" t="n">
        <x:f>H623-I623</x:f>
        <x:v>101.85000000000002</x:v>
      </x:c>
      <x:c r="K623" s="16" t="n">
        <x:f>IFERROR(J623/H623,0)</x:f>
        <x:v>0.34898064074010626</x:v>
      </x:c>
      <x:c r="L623" s="14" t="str">
        <x:f>IF(J623&gt;0,"Provisional positive contribution","Not viable")</x:f>
        <x:v>Provisional positive contribution</x:v>
      </x:c>
    </x:row>
    <x:row r="624">
      <x:c r="A624" s="14" t="str">
        <x:v>220gsm Cotton</x:v>
      </x:c>
      <x:c r="B624" s="14" t="n">
        <x:v>25</x:v>
      </x:c>
      <x:c r="C624" s="15" t="n">
        <x:v>699</x:v>
      </x:c>
      <x:c r="D624" s="15" t="n">
        <x:v>499</x:v>
      </x:c>
      <x:c r="E624" s="16" t="n">
        <x:v>0.2</x:v>
      </x:c>
      <x:c r="F624" s="15" t="n">
        <x:f>INDEX('Inputs'!$D$4:$D$6,MATCH(A624,'Inputs'!$A$4:$A$6,0))</x:f>
        <x:v>105</x:v>
      </x:c>
      <x:c r="G624" s="15" t="n">
        <x:f>INDEX('Inputs'!$E$4:$E$6,MATCH(A624,'Inputs'!$A$4:$A$6,0))</x:f>
        <x:v>85</x:v>
      </x:c>
      <x:c r="H624" s="15" t="n">
        <x:f>D624*(1-E624)</x:f>
        <x:v>399.20000000000005</x:v>
      </x:c>
      <x:c r="I624" s="15" t="n">
        <x:f>F624+G624</x:f>
        <x:v>190</x:v>
      </x:c>
      <x:c r="J624" s="15" t="n">
        <x:f>H624-I624</x:f>
        <x:v>209.20000000000005</x:v>
      </x:c>
      <x:c r="K624" s="16" t="n">
        <x:f>IFERROR(J624/H624,0)</x:f>
        <x:v>0.5240480961923848</x:v>
      </x:c>
      <x:c r="L624" s="14" t="str">
        <x:f>IF(J624&gt;0,"Provisional positive contribution","Not viable")</x:f>
        <x:v>Provisional positive contribution</x:v>
      </x:c>
    </x:row>
    <x:row r="625">
      <x:c r="A625" s="14" t="str">
        <x:v>220gsm Cotton</x:v>
      </x:c>
      <x:c r="B625" s="14" t="n">
        <x:v>25</x:v>
      </x:c>
      <x:c r="C625" s="15" t="n">
        <x:v>699</x:v>
      </x:c>
      <x:c r="D625" s="15" t="n">
        <x:v>499</x:v>
      </x:c>
      <x:c r="E625" s="16" t="n">
        <x:v>0.25</x:v>
      </x:c>
      <x:c r="F625" s="15" t="n">
        <x:f>INDEX('Inputs'!$D$4:$D$6,MATCH(A625,'Inputs'!$A$4:$A$6,0))</x:f>
        <x:v>105</x:v>
      </x:c>
      <x:c r="G625" s="15" t="n">
        <x:f>INDEX('Inputs'!$E$4:$E$6,MATCH(A625,'Inputs'!$A$4:$A$6,0))</x:f>
        <x:v>85</x:v>
      </x:c>
      <x:c r="H625" s="15" t="n">
        <x:f>D625*(1-E625)</x:f>
        <x:v>374.25</x:v>
      </x:c>
      <x:c r="I625" s="15" t="n">
        <x:f>F625+G625</x:f>
        <x:v>190</x:v>
      </x:c>
      <x:c r="J625" s="15" t="n">
        <x:f>H625-I625</x:f>
        <x:v>184.25</x:v>
      </x:c>
      <x:c r="K625" s="16" t="n">
        <x:f>IFERROR(J625/H625,0)</x:f>
        <x:v>0.4923179692718771</x:v>
      </x:c>
      <x:c r="L625" s="14" t="str">
        <x:f>IF(J625&gt;0,"Provisional positive contribution","Not viable")</x:f>
        <x:v>Provisional positive contribution</x:v>
      </x:c>
    </x:row>
    <x:row r="626">
      <x:c r="A626" s="14" t="str">
        <x:v>220gsm Cotton</x:v>
      </x:c>
      <x:c r="B626" s="14" t="n">
        <x:v>25</x:v>
      </x:c>
      <x:c r="C626" s="15" t="n">
        <x:v>699</x:v>
      </x:c>
      <x:c r="D626" s="15" t="n">
        <x:v>499</x:v>
      </x:c>
      <x:c r="E626" s="16" t="n">
        <x:v>0.3</x:v>
      </x:c>
      <x:c r="F626" s="15" t="n">
        <x:f>INDEX('Inputs'!$D$4:$D$6,MATCH(A626,'Inputs'!$A$4:$A$6,0))</x:f>
        <x:v>105</x:v>
      </x:c>
      <x:c r="G626" s="15" t="n">
        <x:f>INDEX('Inputs'!$E$4:$E$6,MATCH(A626,'Inputs'!$A$4:$A$6,0))</x:f>
        <x:v>85</x:v>
      </x:c>
      <x:c r="H626" s="15" t="n">
        <x:f>D626*(1-E626)</x:f>
        <x:v>349.29999999999995</x:v>
      </x:c>
      <x:c r="I626" s="15" t="n">
        <x:f>F626+G626</x:f>
        <x:v>190</x:v>
      </x:c>
      <x:c r="J626" s="15" t="n">
        <x:f>H626-I626</x:f>
        <x:v>159.29999999999995</x:v>
      </x:c>
      <x:c r="K626" s="16" t="n">
        <x:f>IFERROR(J626/H626,0)</x:f>
        <x:v>0.4560549670770111</x:v>
      </x:c>
      <x:c r="L626" s="14" t="str">
        <x:f>IF(J626&gt;0,"Provisional positive contribution","Not viable")</x:f>
        <x:v>Provisional positive contribution</x:v>
      </x:c>
    </x:row>
    <x:row r="627">
      <x:c r="A627" s="14" t="str">
        <x:v>220gsm Cotton</x:v>
      </x:c>
      <x:c r="B627" s="14" t="n">
        <x:v>25</x:v>
      </x:c>
      <x:c r="C627" s="15" t="n">
        <x:v>699</x:v>
      </x:c>
      <x:c r="D627" s="15" t="n">
        <x:v>499</x:v>
      </x:c>
      <x:c r="E627" s="16" t="n">
        <x:v>0.35</x:v>
      </x:c>
      <x:c r="F627" s="15" t="n">
        <x:f>INDEX('Inputs'!$D$4:$D$6,MATCH(A627,'Inputs'!$A$4:$A$6,0))</x:f>
        <x:v>105</x:v>
      </x:c>
      <x:c r="G627" s="15" t="n">
        <x:f>INDEX('Inputs'!$E$4:$E$6,MATCH(A627,'Inputs'!$A$4:$A$6,0))</x:f>
        <x:v>85</x:v>
      </x:c>
      <x:c r="H627" s="15" t="n">
        <x:f>D627*(1-E627)</x:f>
        <x:v>324.35</x:v>
      </x:c>
      <x:c r="I627" s="15" t="n">
        <x:f>F627+G627</x:f>
        <x:v>190</x:v>
      </x:c>
      <x:c r="J627" s="15" t="n">
        <x:f>H627-I627</x:f>
        <x:v>134.35000000000002</x:v>
      </x:c>
      <x:c r="K627" s="16" t="n">
        <x:f>IFERROR(J627/H627,0)</x:f>
        <x:v>0.4142130414675505</x:v>
      </x:c>
      <x:c r="L627" s="14" t="str">
        <x:f>IF(J627&gt;0,"Provisional positive contribution","Not viable")</x:f>
        <x:v>Provisional positive contribution</x:v>
      </x:c>
    </x:row>
    <x:row r="628">
      <x:c r="A628" s="14" t="str">
        <x:v>220gsm Cotton</x:v>
      </x:c>
      <x:c r="B628" s="14" t="n">
        <x:v>25</x:v>
      </x:c>
      <x:c r="C628" s="15" t="n">
        <x:v>749</x:v>
      </x:c>
      <x:c r="D628" s="15" t="n">
        <x:v>349</x:v>
      </x:c>
      <x:c r="E628" s="16" t="n">
        <x:v>0.2</x:v>
      </x:c>
      <x:c r="F628" s="15" t="n">
        <x:f>INDEX('Inputs'!$D$4:$D$6,MATCH(A628,'Inputs'!$A$4:$A$6,0))</x:f>
        <x:v>105</x:v>
      </x:c>
      <x:c r="G628" s="15" t="n">
        <x:f>INDEX('Inputs'!$E$4:$E$6,MATCH(A628,'Inputs'!$A$4:$A$6,0))</x:f>
        <x:v>85</x:v>
      </x:c>
      <x:c r="H628" s="15" t="n">
        <x:f>D628*(1-E628)</x:f>
        <x:v>279.2</x:v>
      </x:c>
      <x:c r="I628" s="15" t="n">
        <x:f>F628+G628</x:f>
        <x:v>190</x:v>
      </x:c>
      <x:c r="J628" s="15" t="n">
        <x:f>H628-I628</x:f>
        <x:v>89.19999999999999</x:v>
      </x:c>
      <x:c r="K628" s="16" t="n">
        <x:f>IFERROR(J628/H628,0)</x:f>
        <x:v>0.31948424068767906</x:v>
      </x:c>
      <x:c r="L628" s="14" t="str">
        <x:f>IF(J628&gt;0,"Provisional positive contribution","Not viable")</x:f>
        <x:v>Provisional positive contribution</x:v>
      </x:c>
    </x:row>
    <x:row r="629">
      <x:c r="A629" s="14" t="str">
        <x:v>220gsm Cotton</x:v>
      </x:c>
      <x:c r="B629" s="14" t="n">
        <x:v>25</x:v>
      </x:c>
      <x:c r="C629" s="15" t="n">
        <x:v>749</x:v>
      </x:c>
      <x:c r="D629" s="15" t="n">
        <x:v>349</x:v>
      </x:c>
      <x:c r="E629" s="16" t="n">
        <x:v>0.25</x:v>
      </x:c>
      <x:c r="F629" s="15" t="n">
        <x:f>INDEX('Inputs'!$D$4:$D$6,MATCH(A629,'Inputs'!$A$4:$A$6,0))</x:f>
        <x:v>105</x:v>
      </x:c>
      <x:c r="G629" s="15" t="n">
        <x:f>INDEX('Inputs'!$E$4:$E$6,MATCH(A629,'Inputs'!$A$4:$A$6,0))</x:f>
        <x:v>85</x:v>
      </x:c>
      <x:c r="H629" s="15" t="n">
        <x:f>D629*(1-E629)</x:f>
        <x:v>261.75</x:v>
      </x:c>
      <x:c r="I629" s="15" t="n">
        <x:f>F629+G629</x:f>
        <x:v>190</x:v>
      </x:c>
      <x:c r="J629" s="15" t="n">
        <x:f>H629-I629</x:f>
        <x:v>71.75</x:v>
      </x:c>
      <x:c r="K629" s="16" t="n">
        <x:f>IFERROR(J629/H629,0)</x:f>
        <x:v>0.27411652340019105</x:v>
      </x:c>
      <x:c r="L629" s="14" t="str">
        <x:f>IF(J629&gt;0,"Provisional positive contribution","Not viable")</x:f>
        <x:v>Provisional positive contribution</x:v>
      </x:c>
    </x:row>
    <x:row r="630">
      <x:c r="A630" s="14" t="str">
        <x:v>220gsm Cotton</x:v>
      </x:c>
      <x:c r="B630" s="14" t="n">
        <x:v>25</x:v>
      </x:c>
      <x:c r="C630" s="15" t="n">
        <x:v>749</x:v>
      </x:c>
      <x:c r="D630" s="15" t="n">
        <x:v>349</x:v>
      </x:c>
      <x:c r="E630" s="16" t="n">
        <x:v>0.3</x:v>
      </x:c>
      <x:c r="F630" s="15" t="n">
        <x:f>INDEX('Inputs'!$D$4:$D$6,MATCH(A630,'Inputs'!$A$4:$A$6,0))</x:f>
        <x:v>105</x:v>
      </x:c>
      <x:c r="G630" s="15" t="n">
        <x:f>INDEX('Inputs'!$E$4:$E$6,MATCH(A630,'Inputs'!$A$4:$A$6,0))</x:f>
        <x:v>85</x:v>
      </x:c>
      <x:c r="H630" s="15" t="n">
        <x:f>D630*(1-E630)</x:f>
        <x:v>244.29999999999998</x:v>
      </x:c>
      <x:c r="I630" s="15" t="n">
        <x:f>F630+G630</x:f>
        <x:v>190</x:v>
      </x:c>
      <x:c r="J630" s="15" t="n">
        <x:f>H630-I630</x:f>
        <x:v>54.29999999999998</x:v>
      </x:c>
      <x:c r="K630" s="16" t="n">
        <x:f>IFERROR(J630/H630,0)</x:f>
        <x:v>0.22226770364306175</x:v>
      </x:c>
      <x:c r="L630" s="14" t="str">
        <x:f>IF(J630&gt;0,"Provisional positive contribution","Not viable")</x:f>
        <x:v>Provisional positive contribution</x:v>
      </x:c>
    </x:row>
    <x:row r="631">
      <x:c r="A631" s="14" t="str">
        <x:v>220gsm Cotton</x:v>
      </x:c>
      <x:c r="B631" s="14" t="n">
        <x:v>25</x:v>
      </x:c>
      <x:c r="C631" s="15" t="n">
        <x:v>749</x:v>
      </x:c>
      <x:c r="D631" s="15" t="n">
        <x:v>349</x:v>
      </x:c>
      <x:c r="E631" s="16" t="n">
        <x:v>0.35</x:v>
      </x:c>
      <x:c r="F631" s="15" t="n">
        <x:f>INDEX('Inputs'!$D$4:$D$6,MATCH(A631,'Inputs'!$A$4:$A$6,0))</x:f>
        <x:v>105</x:v>
      </x:c>
      <x:c r="G631" s="15" t="n">
        <x:f>INDEX('Inputs'!$E$4:$E$6,MATCH(A631,'Inputs'!$A$4:$A$6,0))</x:f>
        <x:v>85</x:v>
      </x:c>
      <x:c r="H631" s="15" t="n">
        <x:f>D631*(1-E631)</x:f>
        <x:v>226.85</x:v>
      </x:c>
      <x:c r="I631" s="15" t="n">
        <x:f>F631+G631</x:f>
        <x:v>190</x:v>
      </x:c>
      <x:c r="J631" s="15" t="n">
        <x:f>H631-I631</x:f>
        <x:v>36.849999999999994</x:v>
      </x:c>
      <x:c r="K631" s="16" t="n">
        <x:f>IFERROR(J631/H631,0)</x:f>
        <x:v>0.16244214238483579</x:v>
      </x:c>
      <x:c r="L631" s="14" t="str">
        <x:f>IF(J631&gt;0,"Provisional positive contribution","Not viable")</x:f>
        <x:v>Provisional positive contribution</x:v>
      </x:c>
    </x:row>
    <x:row r="632">
      <x:c r="A632" s="14" t="str">
        <x:v>220gsm Cotton</x:v>
      </x:c>
      <x:c r="B632" s="14" t="n">
        <x:v>25</x:v>
      </x:c>
      <x:c r="C632" s="15" t="n">
        <x:v>749</x:v>
      </x:c>
      <x:c r="D632" s="15" t="n">
        <x:v>399</x:v>
      </x:c>
      <x:c r="E632" s="16" t="n">
        <x:v>0.2</x:v>
      </x:c>
      <x:c r="F632" s="15" t="n">
        <x:f>INDEX('Inputs'!$D$4:$D$6,MATCH(A632,'Inputs'!$A$4:$A$6,0))</x:f>
        <x:v>105</x:v>
      </x:c>
      <x:c r="G632" s="15" t="n">
        <x:f>INDEX('Inputs'!$E$4:$E$6,MATCH(A632,'Inputs'!$A$4:$A$6,0))</x:f>
        <x:v>85</x:v>
      </x:c>
      <x:c r="H632" s="15" t="n">
        <x:f>D632*(1-E632)</x:f>
        <x:v>319.20000000000005</x:v>
      </x:c>
      <x:c r="I632" s="15" t="n">
        <x:f>F632+G632</x:f>
        <x:v>190</x:v>
      </x:c>
      <x:c r="J632" s="15" t="n">
        <x:f>H632-I632</x:f>
        <x:v>129.20000000000005</x:v>
      </x:c>
      <x:c r="K632" s="16" t="n">
        <x:f>IFERROR(J632/H632,0)</x:f>
        <x:v>0.4047619047619048</x:v>
      </x:c>
      <x:c r="L632" s="14" t="str">
        <x:f>IF(J632&gt;0,"Provisional positive contribution","Not viable")</x:f>
        <x:v>Provisional positive contribution</x:v>
      </x:c>
    </x:row>
    <x:row r="633">
      <x:c r="A633" s="14" t="str">
        <x:v>220gsm Cotton</x:v>
      </x:c>
      <x:c r="B633" s="14" t="n">
        <x:v>25</x:v>
      </x:c>
      <x:c r="C633" s="15" t="n">
        <x:v>749</x:v>
      </x:c>
      <x:c r="D633" s="15" t="n">
        <x:v>399</x:v>
      </x:c>
      <x:c r="E633" s="16" t="n">
        <x:v>0.25</x:v>
      </x:c>
      <x:c r="F633" s="15" t="n">
        <x:f>INDEX('Inputs'!$D$4:$D$6,MATCH(A633,'Inputs'!$A$4:$A$6,0))</x:f>
        <x:v>105</x:v>
      </x:c>
      <x:c r="G633" s="15" t="n">
        <x:f>INDEX('Inputs'!$E$4:$E$6,MATCH(A633,'Inputs'!$A$4:$A$6,0))</x:f>
        <x:v>85</x:v>
      </x:c>
      <x:c r="H633" s="15" t="n">
        <x:f>D633*(1-E633)</x:f>
        <x:v>299.25</x:v>
      </x:c>
      <x:c r="I633" s="15" t="n">
        <x:f>F633+G633</x:f>
        <x:v>190</x:v>
      </x:c>
      <x:c r="J633" s="15" t="n">
        <x:f>H633-I633</x:f>
        <x:v>109.25</x:v>
      </x:c>
      <x:c r="K633" s="16" t="n">
        <x:f>IFERROR(J633/H633,0)</x:f>
        <x:v>0.36507936507936506</x:v>
      </x:c>
      <x:c r="L633" s="14" t="str">
        <x:f>IF(J633&gt;0,"Provisional positive contribution","Not viable")</x:f>
        <x:v>Provisional positive contribution</x:v>
      </x:c>
    </x:row>
    <x:row r="634">
      <x:c r="A634" s="14" t="str">
        <x:v>220gsm Cotton</x:v>
      </x:c>
      <x:c r="B634" s="14" t="n">
        <x:v>25</x:v>
      </x:c>
      <x:c r="C634" s="15" t="n">
        <x:v>749</x:v>
      </x:c>
      <x:c r="D634" s="15" t="n">
        <x:v>399</x:v>
      </x:c>
      <x:c r="E634" s="16" t="n">
        <x:v>0.3</x:v>
      </x:c>
      <x:c r="F634" s="15" t="n">
        <x:f>INDEX('Inputs'!$D$4:$D$6,MATCH(A634,'Inputs'!$A$4:$A$6,0))</x:f>
        <x:v>105</x:v>
      </x:c>
      <x:c r="G634" s="15" t="n">
        <x:f>INDEX('Inputs'!$E$4:$E$6,MATCH(A634,'Inputs'!$A$4:$A$6,0))</x:f>
        <x:v>85</x:v>
      </x:c>
      <x:c r="H634" s="15" t="n">
        <x:f>D634*(1-E634)</x:f>
        <x:v>279.29999999999995</x:v>
      </x:c>
      <x:c r="I634" s="15" t="n">
        <x:f>F634+G634</x:f>
        <x:v>190</x:v>
      </x:c>
      <x:c r="J634" s="15" t="n">
        <x:f>H634-I634</x:f>
        <x:v>89.29999999999995</x:v>
      </x:c>
      <x:c r="K634" s="16" t="n">
        <x:f>IFERROR(J634/H634,0)</x:f>
        <x:v>0.3197278911564625</x:v>
      </x:c>
      <x:c r="L634" s="14" t="str">
        <x:f>IF(J634&gt;0,"Provisional positive contribution","Not viable")</x:f>
        <x:v>Provisional positive contribution</x:v>
      </x:c>
    </x:row>
    <x:row r="635">
      <x:c r="A635" s="14" t="str">
        <x:v>220gsm Cotton</x:v>
      </x:c>
      <x:c r="B635" s="14" t="n">
        <x:v>25</x:v>
      </x:c>
      <x:c r="C635" s="15" t="n">
        <x:v>749</x:v>
      </x:c>
      <x:c r="D635" s="15" t="n">
        <x:v>399</x:v>
      </x:c>
      <x:c r="E635" s="16" t="n">
        <x:v>0.35</x:v>
      </x:c>
      <x:c r="F635" s="15" t="n">
        <x:f>INDEX('Inputs'!$D$4:$D$6,MATCH(A635,'Inputs'!$A$4:$A$6,0))</x:f>
        <x:v>105</x:v>
      </x:c>
      <x:c r="G635" s="15" t="n">
        <x:f>INDEX('Inputs'!$E$4:$E$6,MATCH(A635,'Inputs'!$A$4:$A$6,0))</x:f>
        <x:v>85</x:v>
      </x:c>
      <x:c r="H635" s="15" t="n">
        <x:f>D635*(1-E635)</x:f>
        <x:v>259.35</x:v>
      </x:c>
      <x:c r="I635" s="15" t="n">
        <x:f>F635+G635</x:f>
        <x:v>190</x:v>
      </x:c>
      <x:c r="J635" s="15" t="n">
        <x:f>H635-I635</x:f>
        <x:v>69.35000000000002</x:v>
      </x:c>
      <x:c r="K635" s="16" t="n">
        <x:f>IFERROR(J635/H635,0)</x:f>
        <x:v>0.26739926739926745</x:v>
      </x:c>
      <x:c r="L635" s="14" t="str">
        <x:f>IF(J635&gt;0,"Provisional positive contribution","Not viable")</x:f>
        <x:v>Provisional positive contribution</x:v>
      </x:c>
    </x:row>
    <x:row r="636">
      <x:c r="A636" s="14" t="str">
        <x:v>220gsm Cotton</x:v>
      </x:c>
      <x:c r="B636" s="14" t="n">
        <x:v>25</x:v>
      </x:c>
      <x:c r="C636" s="15" t="n">
        <x:v>749</x:v>
      </x:c>
      <x:c r="D636" s="15" t="n">
        <x:v>449</x:v>
      </x:c>
      <x:c r="E636" s="16" t="n">
        <x:v>0.2</x:v>
      </x:c>
      <x:c r="F636" s="15" t="n">
        <x:f>INDEX('Inputs'!$D$4:$D$6,MATCH(A636,'Inputs'!$A$4:$A$6,0))</x:f>
        <x:v>105</x:v>
      </x:c>
      <x:c r="G636" s="15" t="n">
        <x:f>INDEX('Inputs'!$E$4:$E$6,MATCH(A636,'Inputs'!$A$4:$A$6,0))</x:f>
        <x:v>85</x:v>
      </x:c>
      <x:c r="H636" s="15" t="n">
        <x:f>D636*(1-E636)</x:f>
        <x:v>359.20000000000005</x:v>
      </x:c>
      <x:c r="I636" s="15" t="n">
        <x:f>F636+G636</x:f>
        <x:v>190</x:v>
      </x:c>
      <x:c r="J636" s="15" t="n">
        <x:f>H636-I636</x:f>
        <x:v>169.20000000000005</x:v>
      </x:c>
      <x:c r="K636" s="16" t="n">
        <x:f>IFERROR(J636/H636,0)</x:f>
        <x:v>0.4710467706013364</x:v>
      </x:c>
      <x:c r="L636" s="14" t="str">
        <x:f>IF(J636&gt;0,"Provisional positive contribution","Not viable")</x:f>
        <x:v>Provisional positive contribution</x:v>
      </x:c>
    </x:row>
    <x:row r="637">
      <x:c r="A637" s="14" t="str">
        <x:v>220gsm Cotton</x:v>
      </x:c>
      <x:c r="B637" s="14" t="n">
        <x:v>25</x:v>
      </x:c>
      <x:c r="C637" s="15" t="n">
        <x:v>749</x:v>
      </x:c>
      <x:c r="D637" s="15" t="n">
        <x:v>449</x:v>
      </x:c>
      <x:c r="E637" s="16" t="n">
        <x:v>0.25</x:v>
      </x:c>
      <x:c r="F637" s="15" t="n">
        <x:f>INDEX('Inputs'!$D$4:$D$6,MATCH(A637,'Inputs'!$A$4:$A$6,0))</x:f>
        <x:v>105</x:v>
      </x:c>
      <x:c r="G637" s="15" t="n">
        <x:f>INDEX('Inputs'!$E$4:$E$6,MATCH(A637,'Inputs'!$A$4:$A$6,0))</x:f>
        <x:v>85</x:v>
      </x:c>
      <x:c r="H637" s="15" t="n">
        <x:f>D637*(1-E637)</x:f>
        <x:v>336.75</x:v>
      </x:c>
      <x:c r="I637" s="15" t="n">
        <x:f>F637+G637</x:f>
        <x:v>190</x:v>
      </x:c>
      <x:c r="J637" s="15" t="n">
        <x:f>H637-I637</x:f>
        <x:v>146.75</x:v>
      </x:c>
      <x:c r="K637" s="16" t="n">
        <x:f>IFERROR(J637/H637,0)</x:f>
        <x:v>0.4357832219747587</x:v>
      </x:c>
      <x:c r="L637" s="14" t="str">
        <x:f>IF(J637&gt;0,"Provisional positive contribution","Not viable")</x:f>
        <x:v>Provisional positive contribution</x:v>
      </x:c>
    </x:row>
    <x:row r="638">
      <x:c r="A638" s="14" t="str">
        <x:v>220gsm Cotton</x:v>
      </x:c>
      <x:c r="B638" s="14" t="n">
        <x:v>25</x:v>
      </x:c>
      <x:c r="C638" s="15" t="n">
        <x:v>749</x:v>
      </x:c>
      <x:c r="D638" s="15" t="n">
        <x:v>449</x:v>
      </x:c>
      <x:c r="E638" s="16" t="n">
        <x:v>0.3</x:v>
      </x:c>
      <x:c r="F638" s="15" t="n">
        <x:f>INDEX('Inputs'!$D$4:$D$6,MATCH(A638,'Inputs'!$A$4:$A$6,0))</x:f>
        <x:v>105</x:v>
      </x:c>
      <x:c r="G638" s="15" t="n">
        <x:f>INDEX('Inputs'!$E$4:$E$6,MATCH(A638,'Inputs'!$A$4:$A$6,0))</x:f>
        <x:v>85</x:v>
      </x:c>
      <x:c r="H638" s="15" t="n">
        <x:f>D638*(1-E638)</x:f>
        <x:v>314.29999999999995</x:v>
      </x:c>
      <x:c r="I638" s="15" t="n">
        <x:f>F638+G638</x:f>
        <x:v>190</x:v>
      </x:c>
      <x:c r="J638" s="15" t="n">
        <x:f>H638-I638</x:f>
        <x:v>124.29999999999995</x:v>
      </x:c>
      <x:c r="K638" s="16" t="n">
        <x:f>IFERROR(J638/H638,0)</x:f>
        <x:v>0.3954820235443843</x:v>
      </x:c>
      <x:c r="L638" s="14" t="str">
        <x:f>IF(J638&gt;0,"Provisional positive contribution","Not viable")</x:f>
        <x:v>Provisional positive contribution</x:v>
      </x:c>
    </x:row>
    <x:row r="639">
      <x:c r="A639" s="14" t="str">
        <x:v>220gsm Cotton</x:v>
      </x:c>
      <x:c r="B639" s="14" t="n">
        <x:v>25</x:v>
      </x:c>
      <x:c r="C639" s="15" t="n">
        <x:v>749</x:v>
      </x:c>
      <x:c r="D639" s="15" t="n">
        <x:v>449</x:v>
      </x:c>
      <x:c r="E639" s="16" t="n">
        <x:v>0.35</x:v>
      </x:c>
      <x:c r="F639" s="15" t="n">
        <x:f>INDEX('Inputs'!$D$4:$D$6,MATCH(A639,'Inputs'!$A$4:$A$6,0))</x:f>
        <x:v>105</x:v>
      </x:c>
      <x:c r="G639" s="15" t="n">
        <x:f>INDEX('Inputs'!$E$4:$E$6,MATCH(A639,'Inputs'!$A$4:$A$6,0))</x:f>
        <x:v>85</x:v>
      </x:c>
      <x:c r="H639" s="15" t="n">
        <x:f>D639*(1-E639)</x:f>
        <x:v>291.85</x:v>
      </x:c>
      <x:c r="I639" s="15" t="n">
        <x:f>F639+G639</x:f>
        <x:v>190</x:v>
      </x:c>
      <x:c r="J639" s="15" t="n">
        <x:f>H639-I639</x:f>
        <x:v>101.85000000000002</x:v>
      </x:c>
      <x:c r="K639" s="16" t="n">
        <x:f>IFERROR(J639/H639,0)</x:f>
        <x:v>0.34898064074010626</x:v>
      </x:c>
      <x:c r="L639" s="14" t="str">
        <x:f>IF(J639&gt;0,"Provisional positive contribution","Not viable")</x:f>
        <x:v>Provisional positive contribution</x:v>
      </x:c>
    </x:row>
    <x:row r="640">
      <x:c r="A640" s="14" t="str">
        <x:v>220gsm Cotton</x:v>
      </x:c>
      <x:c r="B640" s="14" t="n">
        <x:v>25</x:v>
      </x:c>
      <x:c r="C640" s="15" t="n">
        <x:v>749</x:v>
      </x:c>
      <x:c r="D640" s="15" t="n">
        <x:v>499</x:v>
      </x:c>
      <x:c r="E640" s="16" t="n">
        <x:v>0.2</x:v>
      </x:c>
      <x:c r="F640" s="15" t="n">
        <x:f>INDEX('Inputs'!$D$4:$D$6,MATCH(A640,'Inputs'!$A$4:$A$6,0))</x:f>
        <x:v>105</x:v>
      </x:c>
      <x:c r="G640" s="15" t="n">
        <x:f>INDEX('Inputs'!$E$4:$E$6,MATCH(A640,'Inputs'!$A$4:$A$6,0))</x:f>
        <x:v>85</x:v>
      </x:c>
      <x:c r="H640" s="15" t="n">
        <x:f>D640*(1-E640)</x:f>
        <x:v>399.20000000000005</x:v>
      </x:c>
      <x:c r="I640" s="15" t="n">
        <x:f>F640+G640</x:f>
        <x:v>190</x:v>
      </x:c>
      <x:c r="J640" s="15" t="n">
        <x:f>H640-I640</x:f>
        <x:v>209.20000000000005</x:v>
      </x:c>
      <x:c r="K640" s="16" t="n">
        <x:f>IFERROR(J640/H640,0)</x:f>
        <x:v>0.5240480961923848</x:v>
      </x:c>
      <x:c r="L640" s="14" t="str">
        <x:f>IF(J640&gt;0,"Provisional positive contribution","Not viable")</x:f>
        <x:v>Provisional positive contribution</x:v>
      </x:c>
    </x:row>
    <x:row r="641">
      <x:c r="A641" s="14" t="str">
        <x:v>220gsm Cotton</x:v>
      </x:c>
      <x:c r="B641" s="14" t="n">
        <x:v>25</x:v>
      </x:c>
      <x:c r="C641" s="15" t="n">
        <x:v>749</x:v>
      </x:c>
      <x:c r="D641" s="15" t="n">
        <x:v>499</x:v>
      </x:c>
      <x:c r="E641" s="16" t="n">
        <x:v>0.25</x:v>
      </x:c>
      <x:c r="F641" s="15" t="n">
        <x:f>INDEX('Inputs'!$D$4:$D$6,MATCH(A641,'Inputs'!$A$4:$A$6,0))</x:f>
        <x:v>105</x:v>
      </x:c>
      <x:c r="G641" s="15" t="n">
        <x:f>INDEX('Inputs'!$E$4:$E$6,MATCH(A641,'Inputs'!$A$4:$A$6,0))</x:f>
        <x:v>85</x:v>
      </x:c>
      <x:c r="H641" s="15" t="n">
        <x:f>D641*(1-E641)</x:f>
        <x:v>374.25</x:v>
      </x:c>
      <x:c r="I641" s="15" t="n">
        <x:f>F641+G641</x:f>
        <x:v>190</x:v>
      </x:c>
      <x:c r="J641" s="15" t="n">
        <x:f>H641-I641</x:f>
        <x:v>184.25</x:v>
      </x:c>
      <x:c r="K641" s="16" t="n">
        <x:f>IFERROR(J641/H641,0)</x:f>
        <x:v>0.4923179692718771</x:v>
      </x:c>
      <x:c r="L641" s="14" t="str">
        <x:f>IF(J641&gt;0,"Provisional positive contribution","Not viable")</x:f>
        <x:v>Provisional positive contribution</x:v>
      </x:c>
    </x:row>
    <x:row r="642">
      <x:c r="A642" s="14" t="str">
        <x:v>220gsm Cotton</x:v>
      </x:c>
      <x:c r="B642" s="14" t="n">
        <x:v>25</x:v>
      </x:c>
      <x:c r="C642" s="15" t="n">
        <x:v>749</x:v>
      </x:c>
      <x:c r="D642" s="15" t="n">
        <x:v>499</x:v>
      </x:c>
      <x:c r="E642" s="16" t="n">
        <x:v>0.3</x:v>
      </x:c>
      <x:c r="F642" s="15" t="n">
        <x:f>INDEX('Inputs'!$D$4:$D$6,MATCH(A642,'Inputs'!$A$4:$A$6,0))</x:f>
        <x:v>105</x:v>
      </x:c>
      <x:c r="G642" s="15" t="n">
        <x:f>INDEX('Inputs'!$E$4:$E$6,MATCH(A642,'Inputs'!$A$4:$A$6,0))</x:f>
        <x:v>85</x:v>
      </x:c>
      <x:c r="H642" s="15" t="n">
        <x:f>D642*(1-E642)</x:f>
        <x:v>349.29999999999995</x:v>
      </x:c>
      <x:c r="I642" s="15" t="n">
        <x:f>F642+G642</x:f>
        <x:v>190</x:v>
      </x:c>
      <x:c r="J642" s="15" t="n">
        <x:f>H642-I642</x:f>
        <x:v>159.29999999999995</x:v>
      </x:c>
      <x:c r="K642" s="16" t="n">
        <x:f>IFERROR(J642/H642,0)</x:f>
        <x:v>0.4560549670770111</x:v>
      </x:c>
      <x:c r="L642" s="14" t="str">
        <x:f>IF(J642&gt;0,"Provisional positive contribution","Not viable")</x:f>
        <x:v>Provisional positive contribution</x:v>
      </x:c>
    </x:row>
    <x:row r="643">
      <x:c r="A643" s="14" t="str">
        <x:v>220gsm Cotton</x:v>
      </x:c>
      <x:c r="B643" s="14" t="n">
        <x:v>25</x:v>
      </x:c>
      <x:c r="C643" s="15" t="n">
        <x:v>749</x:v>
      </x:c>
      <x:c r="D643" s="15" t="n">
        <x:v>499</x:v>
      </x:c>
      <x:c r="E643" s="16" t="n">
        <x:v>0.35</x:v>
      </x:c>
      <x:c r="F643" s="15" t="n">
        <x:f>INDEX('Inputs'!$D$4:$D$6,MATCH(A643,'Inputs'!$A$4:$A$6,0))</x:f>
        <x:v>105</x:v>
      </x:c>
      <x:c r="G643" s="15" t="n">
        <x:f>INDEX('Inputs'!$E$4:$E$6,MATCH(A643,'Inputs'!$A$4:$A$6,0))</x:f>
        <x:v>85</x:v>
      </x:c>
      <x:c r="H643" s="15" t="n">
        <x:f>D643*(1-E643)</x:f>
        <x:v>324.35</x:v>
      </x:c>
      <x:c r="I643" s="15" t="n">
        <x:f>F643+G643</x:f>
        <x:v>190</x:v>
      </x:c>
      <x:c r="J643" s="15" t="n">
        <x:f>H643-I643</x:f>
        <x:v>134.35000000000002</x:v>
      </x:c>
      <x:c r="K643" s="16" t="n">
        <x:f>IFERROR(J643/H643,0)</x:f>
        <x:v>0.4142130414675505</x:v>
      </x:c>
      <x:c r="L643" s="14" t="str">
        <x:f>IF(J643&gt;0,"Provisional positive contribution","Not viable")</x:f>
        <x:v>Provisional positive contribution</x:v>
      </x:c>
    </x:row>
    <x:row r="644">
      <x:c r="A644" s="14" t="str">
        <x:v>220gsm Cotton</x:v>
      </x:c>
      <x:c r="B644" s="14" t="n">
        <x:v>50</x:v>
      </x:c>
      <x:c r="C644" s="15" t="n">
        <x:v>599</x:v>
      </x:c>
      <x:c r="D644" s="15" t="n">
        <x:v>349</x:v>
      </x:c>
      <x:c r="E644" s="16" t="n">
        <x:v>0.2</x:v>
      </x:c>
      <x:c r="F644" s="15" t="n">
        <x:f>INDEX('Inputs'!$D$4:$D$6,MATCH(A644,'Inputs'!$A$4:$A$6,0))</x:f>
        <x:v>105</x:v>
      </x:c>
      <x:c r="G644" s="15" t="n">
        <x:f>INDEX('Inputs'!$E$4:$E$6,MATCH(A644,'Inputs'!$A$4:$A$6,0))</x:f>
        <x:v>85</x:v>
      </x:c>
      <x:c r="H644" s="15" t="n">
        <x:f>D644*(1-E644)</x:f>
        <x:v>279.2</x:v>
      </x:c>
      <x:c r="I644" s="15" t="n">
        <x:f>F644+G644</x:f>
        <x:v>190</x:v>
      </x:c>
      <x:c r="J644" s="15" t="n">
        <x:f>H644-I644</x:f>
        <x:v>89.19999999999999</x:v>
      </x:c>
      <x:c r="K644" s="16" t="n">
        <x:f>IFERROR(J644/H644,0)</x:f>
        <x:v>0.31948424068767906</x:v>
      </x:c>
      <x:c r="L644" s="14" t="str">
        <x:f>IF(J644&gt;0,"Provisional positive contribution","Not viable")</x:f>
        <x:v>Provisional positive contribution</x:v>
      </x:c>
    </x:row>
    <x:row r="645">
      <x:c r="A645" s="14" t="str">
        <x:v>220gsm Cotton</x:v>
      </x:c>
      <x:c r="B645" s="14" t="n">
        <x:v>50</x:v>
      </x:c>
      <x:c r="C645" s="15" t="n">
        <x:v>599</x:v>
      </x:c>
      <x:c r="D645" s="15" t="n">
        <x:v>349</x:v>
      </x:c>
      <x:c r="E645" s="16" t="n">
        <x:v>0.25</x:v>
      </x:c>
      <x:c r="F645" s="15" t="n">
        <x:f>INDEX('Inputs'!$D$4:$D$6,MATCH(A645,'Inputs'!$A$4:$A$6,0))</x:f>
        <x:v>105</x:v>
      </x:c>
      <x:c r="G645" s="15" t="n">
        <x:f>INDEX('Inputs'!$E$4:$E$6,MATCH(A645,'Inputs'!$A$4:$A$6,0))</x:f>
        <x:v>85</x:v>
      </x:c>
      <x:c r="H645" s="15" t="n">
        <x:f>D645*(1-E645)</x:f>
        <x:v>261.75</x:v>
      </x:c>
      <x:c r="I645" s="15" t="n">
        <x:f>F645+G645</x:f>
        <x:v>190</x:v>
      </x:c>
      <x:c r="J645" s="15" t="n">
        <x:f>H645-I645</x:f>
        <x:v>71.75</x:v>
      </x:c>
      <x:c r="K645" s="16" t="n">
        <x:f>IFERROR(J645/H645,0)</x:f>
        <x:v>0.27411652340019105</x:v>
      </x:c>
      <x:c r="L645" s="14" t="str">
        <x:f>IF(J645&gt;0,"Provisional positive contribution","Not viable")</x:f>
        <x:v>Provisional positive contribution</x:v>
      </x:c>
    </x:row>
    <x:row r="646">
      <x:c r="A646" s="14" t="str">
        <x:v>220gsm Cotton</x:v>
      </x:c>
      <x:c r="B646" s="14" t="n">
        <x:v>50</x:v>
      </x:c>
      <x:c r="C646" s="15" t="n">
        <x:v>599</x:v>
      </x:c>
      <x:c r="D646" s="15" t="n">
        <x:v>349</x:v>
      </x:c>
      <x:c r="E646" s="16" t="n">
        <x:v>0.3</x:v>
      </x:c>
      <x:c r="F646" s="15" t="n">
        <x:f>INDEX('Inputs'!$D$4:$D$6,MATCH(A646,'Inputs'!$A$4:$A$6,0))</x:f>
        <x:v>105</x:v>
      </x:c>
      <x:c r="G646" s="15" t="n">
        <x:f>INDEX('Inputs'!$E$4:$E$6,MATCH(A646,'Inputs'!$A$4:$A$6,0))</x:f>
        <x:v>85</x:v>
      </x:c>
      <x:c r="H646" s="15" t="n">
        <x:f>D646*(1-E646)</x:f>
        <x:v>244.29999999999998</x:v>
      </x:c>
      <x:c r="I646" s="15" t="n">
        <x:f>F646+G646</x:f>
        <x:v>190</x:v>
      </x:c>
      <x:c r="J646" s="15" t="n">
        <x:f>H646-I646</x:f>
        <x:v>54.29999999999998</x:v>
      </x:c>
      <x:c r="K646" s="16" t="n">
        <x:f>IFERROR(J646/H646,0)</x:f>
        <x:v>0.22226770364306175</x:v>
      </x:c>
      <x:c r="L646" s="14" t="str">
        <x:f>IF(J646&gt;0,"Provisional positive contribution","Not viable")</x:f>
        <x:v>Provisional positive contribution</x:v>
      </x:c>
    </x:row>
    <x:row r="647">
      <x:c r="A647" s="14" t="str">
        <x:v>220gsm Cotton</x:v>
      </x:c>
      <x:c r="B647" s="14" t="n">
        <x:v>50</x:v>
      </x:c>
      <x:c r="C647" s="15" t="n">
        <x:v>599</x:v>
      </x:c>
      <x:c r="D647" s="15" t="n">
        <x:v>349</x:v>
      </x:c>
      <x:c r="E647" s="16" t="n">
        <x:v>0.35</x:v>
      </x:c>
      <x:c r="F647" s="15" t="n">
        <x:f>INDEX('Inputs'!$D$4:$D$6,MATCH(A647,'Inputs'!$A$4:$A$6,0))</x:f>
        <x:v>105</x:v>
      </x:c>
      <x:c r="G647" s="15" t="n">
        <x:f>INDEX('Inputs'!$E$4:$E$6,MATCH(A647,'Inputs'!$A$4:$A$6,0))</x:f>
        <x:v>85</x:v>
      </x:c>
      <x:c r="H647" s="15" t="n">
        <x:f>D647*(1-E647)</x:f>
        <x:v>226.85</x:v>
      </x:c>
      <x:c r="I647" s="15" t="n">
        <x:f>F647+G647</x:f>
        <x:v>190</x:v>
      </x:c>
      <x:c r="J647" s="15" t="n">
        <x:f>H647-I647</x:f>
        <x:v>36.849999999999994</x:v>
      </x:c>
      <x:c r="K647" s="16" t="n">
        <x:f>IFERROR(J647/H647,0)</x:f>
        <x:v>0.16244214238483579</x:v>
      </x:c>
      <x:c r="L647" s="14" t="str">
        <x:f>IF(J647&gt;0,"Provisional positive contribution","Not viable")</x:f>
        <x:v>Provisional positive contribution</x:v>
      </x:c>
    </x:row>
    <x:row r="648">
      <x:c r="A648" s="14" t="str">
        <x:v>220gsm Cotton</x:v>
      </x:c>
      <x:c r="B648" s="14" t="n">
        <x:v>50</x:v>
      </x:c>
      <x:c r="C648" s="15" t="n">
        <x:v>599</x:v>
      </x:c>
      <x:c r="D648" s="15" t="n">
        <x:v>399</x:v>
      </x:c>
      <x:c r="E648" s="16" t="n">
        <x:v>0.2</x:v>
      </x:c>
      <x:c r="F648" s="15" t="n">
        <x:f>INDEX('Inputs'!$D$4:$D$6,MATCH(A648,'Inputs'!$A$4:$A$6,0))</x:f>
        <x:v>105</x:v>
      </x:c>
      <x:c r="G648" s="15" t="n">
        <x:f>INDEX('Inputs'!$E$4:$E$6,MATCH(A648,'Inputs'!$A$4:$A$6,0))</x:f>
        <x:v>85</x:v>
      </x:c>
      <x:c r="H648" s="15" t="n">
        <x:f>D648*(1-E648)</x:f>
        <x:v>319.20000000000005</x:v>
      </x:c>
      <x:c r="I648" s="15" t="n">
        <x:f>F648+G648</x:f>
        <x:v>190</x:v>
      </x:c>
      <x:c r="J648" s="15" t="n">
        <x:f>H648-I648</x:f>
        <x:v>129.20000000000005</x:v>
      </x:c>
      <x:c r="K648" s="16" t="n">
        <x:f>IFERROR(J648/H648,0)</x:f>
        <x:v>0.4047619047619048</x:v>
      </x:c>
      <x:c r="L648" s="14" t="str">
        <x:f>IF(J648&gt;0,"Provisional positive contribution","Not viable")</x:f>
        <x:v>Provisional positive contribution</x:v>
      </x:c>
    </x:row>
    <x:row r="649">
      <x:c r="A649" s="14" t="str">
        <x:v>220gsm Cotton</x:v>
      </x:c>
      <x:c r="B649" s="14" t="n">
        <x:v>50</x:v>
      </x:c>
      <x:c r="C649" s="15" t="n">
        <x:v>599</x:v>
      </x:c>
      <x:c r="D649" s="15" t="n">
        <x:v>399</x:v>
      </x:c>
      <x:c r="E649" s="16" t="n">
        <x:v>0.25</x:v>
      </x:c>
      <x:c r="F649" s="15" t="n">
        <x:f>INDEX('Inputs'!$D$4:$D$6,MATCH(A649,'Inputs'!$A$4:$A$6,0))</x:f>
        <x:v>105</x:v>
      </x:c>
      <x:c r="G649" s="15" t="n">
        <x:f>INDEX('Inputs'!$E$4:$E$6,MATCH(A649,'Inputs'!$A$4:$A$6,0))</x:f>
        <x:v>85</x:v>
      </x:c>
      <x:c r="H649" s="15" t="n">
        <x:f>D649*(1-E649)</x:f>
        <x:v>299.25</x:v>
      </x:c>
      <x:c r="I649" s="15" t="n">
        <x:f>F649+G649</x:f>
        <x:v>190</x:v>
      </x:c>
      <x:c r="J649" s="15" t="n">
        <x:f>H649-I649</x:f>
        <x:v>109.25</x:v>
      </x:c>
      <x:c r="K649" s="16" t="n">
        <x:f>IFERROR(J649/H649,0)</x:f>
        <x:v>0.36507936507936506</x:v>
      </x:c>
      <x:c r="L649" s="14" t="str">
        <x:f>IF(J649&gt;0,"Provisional positive contribution","Not viable")</x:f>
        <x:v>Provisional positive contribution</x:v>
      </x:c>
    </x:row>
    <x:row r="650">
      <x:c r="A650" s="14" t="str">
        <x:v>220gsm Cotton</x:v>
      </x:c>
      <x:c r="B650" s="14" t="n">
        <x:v>50</x:v>
      </x:c>
      <x:c r="C650" s="15" t="n">
        <x:v>599</x:v>
      </x:c>
      <x:c r="D650" s="15" t="n">
        <x:v>399</x:v>
      </x:c>
      <x:c r="E650" s="16" t="n">
        <x:v>0.3</x:v>
      </x:c>
      <x:c r="F650" s="15" t="n">
        <x:f>INDEX('Inputs'!$D$4:$D$6,MATCH(A650,'Inputs'!$A$4:$A$6,0))</x:f>
        <x:v>105</x:v>
      </x:c>
      <x:c r="G650" s="15" t="n">
        <x:f>INDEX('Inputs'!$E$4:$E$6,MATCH(A650,'Inputs'!$A$4:$A$6,0))</x:f>
        <x:v>85</x:v>
      </x:c>
      <x:c r="H650" s="15" t="n">
        <x:f>D650*(1-E650)</x:f>
        <x:v>279.29999999999995</x:v>
      </x:c>
      <x:c r="I650" s="15" t="n">
        <x:f>F650+G650</x:f>
        <x:v>190</x:v>
      </x:c>
      <x:c r="J650" s="15" t="n">
        <x:f>H650-I650</x:f>
        <x:v>89.29999999999995</x:v>
      </x:c>
      <x:c r="K650" s="16" t="n">
        <x:f>IFERROR(J650/H650,0)</x:f>
        <x:v>0.3197278911564625</x:v>
      </x:c>
      <x:c r="L650" s="14" t="str">
        <x:f>IF(J650&gt;0,"Provisional positive contribution","Not viable")</x:f>
        <x:v>Provisional positive contribution</x:v>
      </x:c>
    </x:row>
    <x:row r="651">
      <x:c r="A651" s="14" t="str">
        <x:v>220gsm Cotton</x:v>
      </x:c>
      <x:c r="B651" s="14" t="n">
        <x:v>50</x:v>
      </x:c>
      <x:c r="C651" s="15" t="n">
        <x:v>599</x:v>
      </x:c>
      <x:c r="D651" s="15" t="n">
        <x:v>399</x:v>
      </x:c>
      <x:c r="E651" s="16" t="n">
        <x:v>0.35</x:v>
      </x:c>
      <x:c r="F651" s="15" t="n">
        <x:f>INDEX('Inputs'!$D$4:$D$6,MATCH(A651,'Inputs'!$A$4:$A$6,0))</x:f>
        <x:v>105</x:v>
      </x:c>
      <x:c r="G651" s="15" t="n">
        <x:f>INDEX('Inputs'!$E$4:$E$6,MATCH(A651,'Inputs'!$A$4:$A$6,0))</x:f>
        <x:v>85</x:v>
      </x:c>
      <x:c r="H651" s="15" t="n">
        <x:f>D651*(1-E651)</x:f>
        <x:v>259.35</x:v>
      </x:c>
      <x:c r="I651" s="15" t="n">
        <x:f>F651+G651</x:f>
        <x:v>190</x:v>
      </x:c>
      <x:c r="J651" s="15" t="n">
        <x:f>H651-I651</x:f>
        <x:v>69.35000000000002</x:v>
      </x:c>
      <x:c r="K651" s="16" t="n">
        <x:f>IFERROR(J651/H651,0)</x:f>
        <x:v>0.26739926739926745</x:v>
      </x:c>
      <x:c r="L651" s="14" t="str">
        <x:f>IF(J651&gt;0,"Provisional positive contribution","Not viable")</x:f>
        <x:v>Provisional positive contribution</x:v>
      </x:c>
    </x:row>
    <x:row r="652">
      <x:c r="A652" s="14" t="str">
        <x:v>220gsm Cotton</x:v>
      </x:c>
      <x:c r="B652" s="14" t="n">
        <x:v>50</x:v>
      </x:c>
      <x:c r="C652" s="15" t="n">
        <x:v>599</x:v>
      </x:c>
      <x:c r="D652" s="15" t="n">
        <x:v>449</x:v>
      </x:c>
      <x:c r="E652" s="16" t="n">
        <x:v>0.2</x:v>
      </x:c>
      <x:c r="F652" s="15" t="n">
        <x:f>INDEX('Inputs'!$D$4:$D$6,MATCH(A652,'Inputs'!$A$4:$A$6,0))</x:f>
        <x:v>105</x:v>
      </x:c>
      <x:c r="G652" s="15" t="n">
        <x:f>INDEX('Inputs'!$E$4:$E$6,MATCH(A652,'Inputs'!$A$4:$A$6,0))</x:f>
        <x:v>85</x:v>
      </x:c>
      <x:c r="H652" s="15" t="n">
        <x:f>D652*(1-E652)</x:f>
        <x:v>359.20000000000005</x:v>
      </x:c>
      <x:c r="I652" s="15" t="n">
        <x:f>F652+G652</x:f>
        <x:v>190</x:v>
      </x:c>
      <x:c r="J652" s="15" t="n">
        <x:f>H652-I652</x:f>
        <x:v>169.20000000000005</x:v>
      </x:c>
      <x:c r="K652" s="16" t="n">
        <x:f>IFERROR(J652/H652,0)</x:f>
        <x:v>0.4710467706013364</x:v>
      </x:c>
      <x:c r="L652" s="14" t="str">
        <x:f>IF(J652&gt;0,"Provisional positive contribution","Not viable")</x:f>
        <x:v>Provisional positive contribution</x:v>
      </x:c>
    </x:row>
    <x:row r="653">
      <x:c r="A653" s="14" t="str">
        <x:v>220gsm Cotton</x:v>
      </x:c>
      <x:c r="B653" s="14" t="n">
        <x:v>50</x:v>
      </x:c>
      <x:c r="C653" s="15" t="n">
        <x:v>599</x:v>
      </x:c>
      <x:c r="D653" s="15" t="n">
        <x:v>449</x:v>
      </x:c>
      <x:c r="E653" s="16" t="n">
        <x:v>0.25</x:v>
      </x:c>
      <x:c r="F653" s="15" t="n">
        <x:f>INDEX('Inputs'!$D$4:$D$6,MATCH(A653,'Inputs'!$A$4:$A$6,0))</x:f>
        <x:v>105</x:v>
      </x:c>
      <x:c r="G653" s="15" t="n">
        <x:f>INDEX('Inputs'!$E$4:$E$6,MATCH(A653,'Inputs'!$A$4:$A$6,0))</x:f>
        <x:v>85</x:v>
      </x:c>
      <x:c r="H653" s="15" t="n">
        <x:f>D653*(1-E653)</x:f>
        <x:v>336.75</x:v>
      </x:c>
      <x:c r="I653" s="15" t="n">
        <x:f>F653+G653</x:f>
        <x:v>190</x:v>
      </x:c>
      <x:c r="J653" s="15" t="n">
        <x:f>H653-I653</x:f>
        <x:v>146.75</x:v>
      </x:c>
      <x:c r="K653" s="16" t="n">
        <x:f>IFERROR(J653/H653,0)</x:f>
        <x:v>0.4357832219747587</x:v>
      </x:c>
      <x:c r="L653" s="14" t="str">
        <x:f>IF(J653&gt;0,"Provisional positive contribution","Not viable")</x:f>
        <x:v>Provisional positive contribution</x:v>
      </x:c>
    </x:row>
    <x:row r="654">
      <x:c r="A654" s="14" t="str">
        <x:v>220gsm Cotton</x:v>
      </x:c>
      <x:c r="B654" s="14" t="n">
        <x:v>50</x:v>
      </x:c>
      <x:c r="C654" s="15" t="n">
        <x:v>599</x:v>
      </x:c>
      <x:c r="D654" s="15" t="n">
        <x:v>449</x:v>
      </x:c>
      <x:c r="E654" s="16" t="n">
        <x:v>0.3</x:v>
      </x:c>
      <x:c r="F654" s="15" t="n">
        <x:f>INDEX('Inputs'!$D$4:$D$6,MATCH(A654,'Inputs'!$A$4:$A$6,0))</x:f>
        <x:v>105</x:v>
      </x:c>
      <x:c r="G654" s="15" t="n">
        <x:f>INDEX('Inputs'!$E$4:$E$6,MATCH(A654,'Inputs'!$A$4:$A$6,0))</x:f>
        <x:v>85</x:v>
      </x:c>
      <x:c r="H654" s="15" t="n">
        <x:f>D654*(1-E654)</x:f>
        <x:v>314.29999999999995</x:v>
      </x:c>
      <x:c r="I654" s="15" t="n">
        <x:f>F654+G654</x:f>
        <x:v>190</x:v>
      </x:c>
      <x:c r="J654" s="15" t="n">
        <x:f>H654-I654</x:f>
        <x:v>124.29999999999995</x:v>
      </x:c>
      <x:c r="K654" s="16" t="n">
        <x:f>IFERROR(J654/H654,0)</x:f>
        <x:v>0.3954820235443843</x:v>
      </x:c>
      <x:c r="L654" s="14" t="str">
        <x:f>IF(J654&gt;0,"Provisional positive contribution","Not viable")</x:f>
        <x:v>Provisional positive contribution</x:v>
      </x:c>
    </x:row>
    <x:row r="655">
      <x:c r="A655" s="14" t="str">
        <x:v>220gsm Cotton</x:v>
      </x:c>
      <x:c r="B655" s="14" t="n">
        <x:v>50</x:v>
      </x:c>
      <x:c r="C655" s="15" t="n">
        <x:v>599</x:v>
      </x:c>
      <x:c r="D655" s="15" t="n">
        <x:v>449</x:v>
      </x:c>
      <x:c r="E655" s="16" t="n">
        <x:v>0.35</x:v>
      </x:c>
      <x:c r="F655" s="15" t="n">
        <x:f>INDEX('Inputs'!$D$4:$D$6,MATCH(A655,'Inputs'!$A$4:$A$6,0))</x:f>
        <x:v>105</x:v>
      </x:c>
      <x:c r="G655" s="15" t="n">
        <x:f>INDEX('Inputs'!$E$4:$E$6,MATCH(A655,'Inputs'!$A$4:$A$6,0))</x:f>
        <x:v>85</x:v>
      </x:c>
      <x:c r="H655" s="15" t="n">
        <x:f>D655*(1-E655)</x:f>
        <x:v>291.85</x:v>
      </x:c>
      <x:c r="I655" s="15" t="n">
        <x:f>F655+G655</x:f>
        <x:v>190</x:v>
      </x:c>
      <x:c r="J655" s="15" t="n">
        <x:f>H655-I655</x:f>
        <x:v>101.85000000000002</x:v>
      </x:c>
      <x:c r="K655" s="16" t="n">
        <x:f>IFERROR(J655/H655,0)</x:f>
        <x:v>0.34898064074010626</x:v>
      </x:c>
      <x:c r="L655" s="14" t="str">
        <x:f>IF(J655&gt;0,"Provisional positive contribution","Not viable")</x:f>
        <x:v>Provisional positive contribution</x:v>
      </x:c>
    </x:row>
    <x:row r="656">
      <x:c r="A656" s="14" t="str">
        <x:v>220gsm Cotton</x:v>
      </x:c>
      <x:c r="B656" s="14" t="n">
        <x:v>50</x:v>
      </x:c>
      <x:c r="C656" s="15" t="n">
        <x:v>599</x:v>
      </x:c>
      <x:c r="D656" s="15" t="n">
        <x:v>499</x:v>
      </x:c>
      <x:c r="E656" s="16" t="n">
        <x:v>0.2</x:v>
      </x:c>
      <x:c r="F656" s="15" t="n">
        <x:f>INDEX('Inputs'!$D$4:$D$6,MATCH(A656,'Inputs'!$A$4:$A$6,0))</x:f>
        <x:v>105</x:v>
      </x:c>
      <x:c r="G656" s="15" t="n">
        <x:f>INDEX('Inputs'!$E$4:$E$6,MATCH(A656,'Inputs'!$A$4:$A$6,0))</x:f>
        <x:v>85</x:v>
      </x:c>
      <x:c r="H656" s="15" t="n">
        <x:f>D656*(1-E656)</x:f>
        <x:v>399.20000000000005</x:v>
      </x:c>
      <x:c r="I656" s="15" t="n">
        <x:f>F656+G656</x:f>
        <x:v>190</x:v>
      </x:c>
      <x:c r="J656" s="15" t="n">
        <x:f>H656-I656</x:f>
        <x:v>209.20000000000005</x:v>
      </x:c>
      <x:c r="K656" s="16" t="n">
        <x:f>IFERROR(J656/H656,0)</x:f>
        <x:v>0.5240480961923848</x:v>
      </x:c>
      <x:c r="L656" s="14" t="str">
        <x:f>IF(J656&gt;0,"Provisional positive contribution","Not viable")</x:f>
        <x:v>Provisional positive contribution</x:v>
      </x:c>
    </x:row>
    <x:row r="657">
      <x:c r="A657" s="14" t="str">
        <x:v>220gsm Cotton</x:v>
      </x:c>
      <x:c r="B657" s="14" t="n">
        <x:v>50</x:v>
      </x:c>
      <x:c r="C657" s="15" t="n">
        <x:v>599</x:v>
      </x:c>
      <x:c r="D657" s="15" t="n">
        <x:v>499</x:v>
      </x:c>
      <x:c r="E657" s="16" t="n">
        <x:v>0.25</x:v>
      </x:c>
      <x:c r="F657" s="15" t="n">
        <x:f>INDEX('Inputs'!$D$4:$D$6,MATCH(A657,'Inputs'!$A$4:$A$6,0))</x:f>
        <x:v>105</x:v>
      </x:c>
      <x:c r="G657" s="15" t="n">
        <x:f>INDEX('Inputs'!$E$4:$E$6,MATCH(A657,'Inputs'!$A$4:$A$6,0))</x:f>
        <x:v>85</x:v>
      </x:c>
      <x:c r="H657" s="15" t="n">
        <x:f>D657*(1-E657)</x:f>
        <x:v>374.25</x:v>
      </x:c>
      <x:c r="I657" s="15" t="n">
        <x:f>F657+G657</x:f>
        <x:v>190</x:v>
      </x:c>
      <x:c r="J657" s="15" t="n">
        <x:f>H657-I657</x:f>
        <x:v>184.25</x:v>
      </x:c>
      <x:c r="K657" s="16" t="n">
        <x:f>IFERROR(J657/H657,0)</x:f>
        <x:v>0.4923179692718771</x:v>
      </x:c>
      <x:c r="L657" s="14" t="str">
        <x:f>IF(J657&gt;0,"Provisional positive contribution","Not viable")</x:f>
        <x:v>Provisional positive contribution</x:v>
      </x:c>
    </x:row>
    <x:row r="658">
      <x:c r="A658" s="14" t="str">
        <x:v>220gsm Cotton</x:v>
      </x:c>
      <x:c r="B658" s="14" t="n">
        <x:v>50</x:v>
      </x:c>
      <x:c r="C658" s="15" t="n">
        <x:v>599</x:v>
      </x:c>
      <x:c r="D658" s="15" t="n">
        <x:v>499</x:v>
      </x:c>
      <x:c r="E658" s="16" t="n">
        <x:v>0.3</x:v>
      </x:c>
      <x:c r="F658" s="15" t="n">
        <x:f>INDEX('Inputs'!$D$4:$D$6,MATCH(A658,'Inputs'!$A$4:$A$6,0))</x:f>
        <x:v>105</x:v>
      </x:c>
      <x:c r="G658" s="15" t="n">
        <x:f>INDEX('Inputs'!$E$4:$E$6,MATCH(A658,'Inputs'!$A$4:$A$6,0))</x:f>
        <x:v>85</x:v>
      </x:c>
      <x:c r="H658" s="15" t="n">
        <x:f>D658*(1-E658)</x:f>
        <x:v>349.29999999999995</x:v>
      </x:c>
      <x:c r="I658" s="15" t="n">
        <x:f>F658+G658</x:f>
        <x:v>190</x:v>
      </x:c>
      <x:c r="J658" s="15" t="n">
        <x:f>H658-I658</x:f>
        <x:v>159.29999999999995</x:v>
      </x:c>
      <x:c r="K658" s="16" t="n">
        <x:f>IFERROR(J658/H658,0)</x:f>
        <x:v>0.4560549670770111</x:v>
      </x:c>
      <x:c r="L658" s="14" t="str">
        <x:f>IF(J658&gt;0,"Provisional positive contribution","Not viable")</x:f>
        <x:v>Provisional positive contribution</x:v>
      </x:c>
    </x:row>
    <x:row r="659">
      <x:c r="A659" s="14" t="str">
        <x:v>220gsm Cotton</x:v>
      </x:c>
      <x:c r="B659" s="14" t="n">
        <x:v>50</x:v>
      </x:c>
      <x:c r="C659" s="15" t="n">
        <x:v>599</x:v>
      </x:c>
      <x:c r="D659" s="15" t="n">
        <x:v>499</x:v>
      </x:c>
      <x:c r="E659" s="16" t="n">
        <x:v>0.35</x:v>
      </x:c>
      <x:c r="F659" s="15" t="n">
        <x:f>INDEX('Inputs'!$D$4:$D$6,MATCH(A659,'Inputs'!$A$4:$A$6,0))</x:f>
        <x:v>105</x:v>
      </x:c>
      <x:c r="G659" s="15" t="n">
        <x:f>INDEX('Inputs'!$E$4:$E$6,MATCH(A659,'Inputs'!$A$4:$A$6,0))</x:f>
        <x:v>85</x:v>
      </x:c>
      <x:c r="H659" s="15" t="n">
        <x:f>D659*(1-E659)</x:f>
        <x:v>324.35</x:v>
      </x:c>
      <x:c r="I659" s="15" t="n">
        <x:f>F659+G659</x:f>
        <x:v>190</x:v>
      </x:c>
      <x:c r="J659" s="15" t="n">
        <x:f>H659-I659</x:f>
        <x:v>134.35000000000002</x:v>
      </x:c>
      <x:c r="K659" s="16" t="n">
        <x:f>IFERROR(J659/H659,0)</x:f>
        <x:v>0.4142130414675505</x:v>
      </x:c>
      <x:c r="L659" s="14" t="str">
        <x:f>IF(J659&gt;0,"Provisional positive contribution","Not viable")</x:f>
        <x:v>Provisional positive contribution</x:v>
      </x:c>
    </x:row>
    <x:row r="660">
      <x:c r="A660" s="14" t="str">
        <x:v>220gsm Cotton</x:v>
      </x:c>
      <x:c r="B660" s="14" t="n">
        <x:v>50</x:v>
      </x:c>
      <x:c r="C660" s="15" t="n">
        <x:v>649</x:v>
      </x:c>
      <x:c r="D660" s="15" t="n">
        <x:v>349</x:v>
      </x:c>
      <x:c r="E660" s="16" t="n">
        <x:v>0.2</x:v>
      </x:c>
      <x:c r="F660" s="15" t="n">
        <x:f>INDEX('Inputs'!$D$4:$D$6,MATCH(A660,'Inputs'!$A$4:$A$6,0))</x:f>
        <x:v>105</x:v>
      </x:c>
      <x:c r="G660" s="15" t="n">
        <x:f>INDEX('Inputs'!$E$4:$E$6,MATCH(A660,'Inputs'!$A$4:$A$6,0))</x:f>
        <x:v>85</x:v>
      </x:c>
      <x:c r="H660" s="15" t="n">
        <x:f>D660*(1-E660)</x:f>
        <x:v>279.2</x:v>
      </x:c>
      <x:c r="I660" s="15" t="n">
        <x:f>F660+G660</x:f>
        <x:v>190</x:v>
      </x:c>
      <x:c r="J660" s="15" t="n">
        <x:f>H660-I660</x:f>
        <x:v>89.19999999999999</x:v>
      </x:c>
      <x:c r="K660" s="16" t="n">
        <x:f>IFERROR(J660/H660,0)</x:f>
        <x:v>0.31948424068767906</x:v>
      </x:c>
      <x:c r="L660" s="14" t="str">
        <x:f>IF(J660&gt;0,"Provisional positive contribution","Not viable")</x:f>
        <x:v>Provisional positive contribution</x:v>
      </x:c>
    </x:row>
    <x:row r="661">
      <x:c r="A661" s="14" t="str">
        <x:v>220gsm Cotton</x:v>
      </x:c>
      <x:c r="B661" s="14" t="n">
        <x:v>50</x:v>
      </x:c>
      <x:c r="C661" s="15" t="n">
        <x:v>649</x:v>
      </x:c>
      <x:c r="D661" s="15" t="n">
        <x:v>349</x:v>
      </x:c>
      <x:c r="E661" s="16" t="n">
        <x:v>0.25</x:v>
      </x:c>
      <x:c r="F661" s="15" t="n">
        <x:f>INDEX('Inputs'!$D$4:$D$6,MATCH(A661,'Inputs'!$A$4:$A$6,0))</x:f>
        <x:v>105</x:v>
      </x:c>
      <x:c r="G661" s="15" t="n">
        <x:f>INDEX('Inputs'!$E$4:$E$6,MATCH(A661,'Inputs'!$A$4:$A$6,0))</x:f>
        <x:v>85</x:v>
      </x:c>
      <x:c r="H661" s="15" t="n">
        <x:f>D661*(1-E661)</x:f>
        <x:v>261.75</x:v>
      </x:c>
      <x:c r="I661" s="15" t="n">
        <x:f>F661+G661</x:f>
        <x:v>190</x:v>
      </x:c>
      <x:c r="J661" s="15" t="n">
        <x:f>H661-I661</x:f>
        <x:v>71.75</x:v>
      </x:c>
      <x:c r="K661" s="16" t="n">
        <x:f>IFERROR(J661/H661,0)</x:f>
        <x:v>0.27411652340019105</x:v>
      </x:c>
      <x:c r="L661" s="14" t="str">
        <x:f>IF(J661&gt;0,"Provisional positive contribution","Not viable")</x:f>
        <x:v>Provisional positive contribution</x:v>
      </x:c>
    </x:row>
    <x:row r="662">
      <x:c r="A662" s="14" t="str">
        <x:v>220gsm Cotton</x:v>
      </x:c>
      <x:c r="B662" s="14" t="n">
        <x:v>50</x:v>
      </x:c>
      <x:c r="C662" s="15" t="n">
        <x:v>649</x:v>
      </x:c>
      <x:c r="D662" s="15" t="n">
        <x:v>349</x:v>
      </x:c>
      <x:c r="E662" s="16" t="n">
        <x:v>0.3</x:v>
      </x:c>
      <x:c r="F662" s="15" t="n">
        <x:f>INDEX('Inputs'!$D$4:$D$6,MATCH(A662,'Inputs'!$A$4:$A$6,0))</x:f>
        <x:v>105</x:v>
      </x:c>
      <x:c r="G662" s="15" t="n">
        <x:f>INDEX('Inputs'!$E$4:$E$6,MATCH(A662,'Inputs'!$A$4:$A$6,0))</x:f>
        <x:v>85</x:v>
      </x:c>
      <x:c r="H662" s="15" t="n">
        <x:f>D662*(1-E662)</x:f>
        <x:v>244.29999999999998</x:v>
      </x:c>
      <x:c r="I662" s="15" t="n">
        <x:f>F662+G662</x:f>
        <x:v>190</x:v>
      </x:c>
      <x:c r="J662" s="15" t="n">
        <x:f>H662-I662</x:f>
        <x:v>54.29999999999998</x:v>
      </x:c>
      <x:c r="K662" s="16" t="n">
        <x:f>IFERROR(J662/H662,0)</x:f>
        <x:v>0.22226770364306175</x:v>
      </x:c>
      <x:c r="L662" s="14" t="str">
        <x:f>IF(J662&gt;0,"Provisional positive contribution","Not viable")</x:f>
        <x:v>Provisional positive contribution</x:v>
      </x:c>
    </x:row>
    <x:row r="663">
      <x:c r="A663" s="14" t="str">
        <x:v>220gsm Cotton</x:v>
      </x:c>
      <x:c r="B663" s="14" t="n">
        <x:v>50</x:v>
      </x:c>
      <x:c r="C663" s="15" t="n">
        <x:v>649</x:v>
      </x:c>
      <x:c r="D663" s="15" t="n">
        <x:v>349</x:v>
      </x:c>
      <x:c r="E663" s="16" t="n">
        <x:v>0.35</x:v>
      </x:c>
      <x:c r="F663" s="15" t="n">
        <x:f>INDEX('Inputs'!$D$4:$D$6,MATCH(A663,'Inputs'!$A$4:$A$6,0))</x:f>
        <x:v>105</x:v>
      </x:c>
      <x:c r="G663" s="15" t="n">
        <x:f>INDEX('Inputs'!$E$4:$E$6,MATCH(A663,'Inputs'!$A$4:$A$6,0))</x:f>
        <x:v>85</x:v>
      </x:c>
      <x:c r="H663" s="15" t="n">
        <x:f>D663*(1-E663)</x:f>
        <x:v>226.85</x:v>
      </x:c>
      <x:c r="I663" s="15" t="n">
        <x:f>F663+G663</x:f>
        <x:v>190</x:v>
      </x:c>
      <x:c r="J663" s="15" t="n">
        <x:f>H663-I663</x:f>
        <x:v>36.849999999999994</x:v>
      </x:c>
      <x:c r="K663" s="16" t="n">
        <x:f>IFERROR(J663/H663,0)</x:f>
        <x:v>0.16244214238483579</x:v>
      </x:c>
      <x:c r="L663" s="14" t="str">
        <x:f>IF(J663&gt;0,"Provisional positive contribution","Not viable")</x:f>
        <x:v>Provisional positive contribution</x:v>
      </x:c>
    </x:row>
    <x:row r="664">
      <x:c r="A664" s="14" t="str">
        <x:v>220gsm Cotton</x:v>
      </x:c>
      <x:c r="B664" s="14" t="n">
        <x:v>50</x:v>
      </x:c>
      <x:c r="C664" s="15" t="n">
        <x:v>649</x:v>
      </x:c>
      <x:c r="D664" s="15" t="n">
        <x:v>399</x:v>
      </x:c>
      <x:c r="E664" s="16" t="n">
        <x:v>0.2</x:v>
      </x:c>
      <x:c r="F664" s="15" t="n">
        <x:f>INDEX('Inputs'!$D$4:$D$6,MATCH(A664,'Inputs'!$A$4:$A$6,0))</x:f>
        <x:v>105</x:v>
      </x:c>
      <x:c r="G664" s="15" t="n">
        <x:f>INDEX('Inputs'!$E$4:$E$6,MATCH(A664,'Inputs'!$A$4:$A$6,0))</x:f>
        <x:v>85</x:v>
      </x:c>
      <x:c r="H664" s="15" t="n">
        <x:f>D664*(1-E664)</x:f>
        <x:v>319.20000000000005</x:v>
      </x:c>
      <x:c r="I664" s="15" t="n">
        <x:f>F664+G664</x:f>
        <x:v>190</x:v>
      </x:c>
      <x:c r="J664" s="15" t="n">
        <x:f>H664-I664</x:f>
        <x:v>129.20000000000005</x:v>
      </x:c>
      <x:c r="K664" s="16" t="n">
        <x:f>IFERROR(J664/H664,0)</x:f>
        <x:v>0.4047619047619048</x:v>
      </x:c>
      <x:c r="L664" s="14" t="str">
        <x:f>IF(J664&gt;0,"Provisional positive contribution","Not viable")</x:f>
        <x:v>Provisional positive contribution</x:v>
      </x:c>
    </x:row>
    <x:row r="665">
      <x:c r="A665" s="14" t="str">
        <x:v>220gsm Cotton</x:v>
      </x:c>
      <x:c r="B665" s="14" t="n">
        <x:v>50</x:v>
      </x:c>
      <x:c r="C665" s="15" t="n">
        <x:v>649</x:v>
      </x:c>
      <x:c r="D665" s="15" t="n">
        <x:v>399</x:v>
      </x:c>
      <x:c r="E665" s="16" t="n">
        <x:v>0.25</x:v>
      </x:c>
      <x:c r="F665" s="15" t="n">
        <x:f>INDEX('Inputs'!$D$4:$D$6,MATCH(A665,'Inputs'!$A$4:$A$6,0))</x:f>
        <x:v>105</x:v>
      </x:c>
      <x:c r="G665" s="15" t="n">
        <x:f>INDEX('Inputs'!$E$4:$E$6,MATCH(A665,'Inputs'!$A$4:$A$6,0))</x:f>
        <x:v>85</x:v>
      </x:c>
      <x:c r="H665" s="15" t="n">
        <x:f>D665*(1-E665)</x:f>
        <x:v>299.25</x:v>
      </x:c>
      <x:c r="I665" s="15" t="n">
        <x:f>F665+G665</x:f>
        <x:v>190</x:v>
      </x:c>
      <x:c r="J665" s="15" t="n">
        <x:f>H665-I665</x:f>
        <x:v>109.25</x:v>
      </x:c>
      <x:c r="K665" s="16" t="n">
        <x:f>IFERROR(J665/H665,0)</x:f>
        <x:v>0.36507936507936506</x:v>
      </x:c>
      <x:c r="L665" s="14" t="str">
        <x:f>IF(J665&gt;0,"Provisional positive contribution","Not viable")</x:f>
        <x:v>Provisional positive contribution</x:v>
      </x:c>
    </x:row>
    <x:row r="666">
      <x:c r="A666" s="14" t="str">
        <x:v>220gsm Cotton</x:v>
      </x:c>
      <x:c r="B666" s="14" t="n">
        <x:v>50</x:v>
      </x:c>
      <x:c r="C666" s="15" t="n">
        <x:v>649</x:v>
      </x:c>
      <x:c r="D666" s="15" t="n">
        <x:v>399</x:v>
      </x:c>
      <x:c r="E666" s="16" t="n">
        <x:v>0.3</x:v>
      </x:c>
      <x:c r="F666" s="15" t="n">
        <x:f>INDEX('Inputs'!$D$4:$D$6,MATCH(A666,'Inputs'!$A$4:$A$6,0))</x:f>
        <x:v>105</x:v>
      </x:c>
      <x:c r="G666" s="15" t="n">
        <x:f>INDEX('Inputs'!$E$4:$E$6,MATCH(A666,'Inputs'!$A$4:$A$6,0))</x:f>
        <x:v>85</x:v>
      </x:c>
      <x:c r="H666" s="15" t="n">
        <x:f>D666*(1-E666)</x:f>
        <x:v>279.29999999999995</x:v>
      </x:c>
      <x:c r="I666" s="15" t="n">
        <x:f>F666+G666</x:f>
        <x:v>190</x:v>
      </x:c>
      <x:c r="J666" s="15" t="n">
        <x:f>H666-I666</x:f>
        <x:v>89.29999999999995</x:v>
      </x:c>
      <x:c r="K666" s="16" t="n">
        <x:f>IFERROR(J666/H666,0)</x:f>
        <x:v>0.3197278911564625</x:v>
      </x:c>
      <x:c r="L666" s="14" t="str">
        <x:f>IF(J666&gt;0,"Provisional positive contribution","Not viable")</x:f>
        <x:v>Provisional positive contribution</x:v>
      </x:c>
    </x:row>
    <x:row r="667">
      <x:c r="A667" s="14" t="str">
        <x:v>220gsm Cotton</x:v>
      </x:c>
      <x:c r="B667" s="14" t="n">
        <x:v>50</x:v>
      </x:c>
      <x:c r="C667" s="15" t="n">
        <x:v>649</x:v>
      </x:c>
      <x:c r="D667" s="15" t="n">
        <x:v>399</x:v>
      </x:c>
      <x:c r="E667" s="16" t="n">
        <x:v>0.35</x:v>
      </x:c>
      <x:c r="F667" s="15" t="n">
        <x:f>INDEX('Inputs'!$D$4:$D$6,MATCH(A667,'Inputs'!$A$4:$A$6,0))</x:f>
        <x:v>105</x:v>
      </x:c>
      <x:c r="G667" s="15" t="n">
        <x:f>INDEX('Inputs'!$E$4:$E$6,MATCH(A667,'Inputs'!$A$4:$A$6,0))</x:f>
        <x:v>85</x:v>
      </x:c>
      <x:c r="H667" s="15" t="n">
        <x:f>D667*(1-E667)</x:f>
        <x:v>259.35</x:v>
      </x:c>
      <x:c r="I667" s="15" t="n">
        <x:f>F667+G667</x:f>
        <x:v>190</x:v>
      </x:c>
      <x:c r="J667" s="15" t="n">
        <x:f>H667-I667</x:f>
        <x:v>69.35000000000002</x:v>
      </x:c>
      <x:c r="K667" s="16" t="n">
        <x:f>IFERROR(J667/H667,0)</x:f>
        <x:v>0.26739926739926745</x:v>
      </x:c>
      <x:c r="L667" s="14" t="str">
        <x:f>IF(J667&gt;0,"Provisional positive contribution","Not viable")</x:f>
        <x:v>Provisional positive contribution</x:v>
      </x:c>
    </x:row>
    <x:row r="668">
      <x:c r="A668" s="14" t="str">
        <x:v>220gsm Cotton</x:v>
      </x:c>
      <x:c r="B668" s="14" t="n">
        <x:v>50</x:v>
      </x:c>
      <x:c r="C668" s="15" t="n">
        <x:v>649</x:v>
      </x:c>
      <x:c r="D668" s="15" t="n">
        <x:v>449</x:v>
      </x:c>
      <x:c r="E668" s="16" t="n">
        <x:v>0.2</x:v>
      </x:c>
      <x:c r="F668" s="15" t="n">
        <x:f>INDEX('Inputs'!$D$4:$D$6,MATCH(A668,'Inputs'!$A$4:$A$6,0))</x:f>
        <x:v>105</x:v>
      </x:c>
      <x:c r="G668" s="15" t="n">
        <x:f>INDEX('Inputs'!$E$4:$E$6,MATCH(A668,'Inputs'!$A$4:$A$6,0))</x:f>
        <x:v>85</x:v>
      </x:c>
      <x:c r="H668" s="15" t="n">
        <x:f>D668*(1-E668)</x:f>
        <x:v>359.20000000000005</x:v>
      </x:c>
      <x:c r="I668" s="15" t="n">
        <x:f>F668+G668</x:f>
        <x:v>190</x:v>
      </x:c>
      <x:c r="J668" s="15" t="n">
        <x:f>H668-I668</x:f>
        <x:v>169.20000000000005</x:v>
      </x:c>
      <x:c r="K668" s="16" t="n">
        <x:f>IFERROR(J668/H668,0)</x:f>
        <x:v>0.4710467706013364</x:v>
      </x:c>
      <x:c r="L668" s="14" t="str">
        <x:f>IF(J668&gt;0,"Provisional positive contribution","Not viable")</x:f>
        <x:v>Provisional positive contribution</x:v>
      </x:c>
    </x:row>
    <x:row r="669">
      <x:c r="A669" s="14" t="str">
        <x:v>220gsm Cotton</x:v>
      </x:c>
      <x:c r="B669" s="14" t="n">
        <x:v>50</x:v>
      </x:c>
      <x:c r="C669" s="15" t="n">
        <x:v>649</x:v>
      </x:c>
      <x:c r="D669" s="15" t="n">
        <x:v>449</x:v>
      </x:c>
      <x:c r="E669" s="16" t="n">
        <x:v>0.25</x:v>
      </x:c>
      <x:c r="F669" s="15" t="n">
        <x:f>INDEX('Inputs'!$D$4:$D$6,MATCH(A669,'Inputs'!$A$4:$A$6,0))</x:f>
        <x:v>105</x:v>
      </x:c>
      <x:c r="G669" s="15" t="n">
        <x:f>INDEX('Inputs'!$E$4:$E$6,MATCH(A669,'Inputs'!$A$4:$A$6,0))</x:f>
        <x:v>85</x:v>
      </x:c>
      <x:c r="H669" s="15" t="n">
        <x:f>D669*(1-E669)</x:f>
        <x:v>336.75</x:v>
      </x:c>
      <x:c r="I669" s="15" t="n">
        <x:f>F669+G669</x:f>
        <x:v>190</x:v>
      </x:c>
      <x:c r="J669" s="15" t="n">
        <x:f>H669-I669</x:f>
        <x:v>146.75</x:v>
      </x:c>
      <x:c r="K669" s="16" t="n">
        <x:f>IFERROR(J669/H669,0)</x:f>
        <x:v>0.4357832219747587</x:v>
      </x:c>
      <x:c r="L669" s="14" t="str">
        <x:f>IF(J669&gt;0,"Provisional positive contribution","Not viable")</x:f>
        <x:v>Provisional positive contribution</x:v>
      </x:c>
    </x:row>
    <x:row r="670">
      <x:c r="A670" s="14" t="str">
        <x:v>220gsm Cotton</x:v>
      </x:c>
      <x:c r="B670" s="14" t="n">
        <x:v>50</x:v>
      </x:c>
      <x:c r="C670" s="15" t="n">
        <x:v>649</x:v>
      </x:c>
      <x:c r="D670" s="15" t="n">
        <x:v>449</x:v>
      </x:c>
      <x:c r="E670" s="16" t="n">
        <x:v>0.3</x:v>
      </x:c>
      <x:c r="F670" s="15" t="n">
        <x:f>INDEX('Inputs'!$D$4:$D$6,MATCH(A670,'Inputs'!$A$4:$A$6,0))</x:f>
        <x:v>105</x:v>
      </x:c>
      <x:c r="G670" s="15" t="n">
        <x:f>INDEX('Inputs'!$E$4:$E$6,MATCH(A670,'Inputs'!$A$4:$A$6,0))</x:f>
        <x:v>85</x:v>
      </x:c>
      <x:c r="H670" s="15" t="n">
        <x:f>D670*(1-E670)</x:f>
        <x:v>314.29999999999995</x:v>
      </x:c>
      <x:c r="I670" s="15" t="n">
        <x:f>F670+G670</x:f>
        <x:v>190</x:v>
      </x:c>
      <x:c r="J670" s="15" t="n">
        <x:f>H670-I670</x:f>
        <x:v>124.29999999999995</x:v>
      </x:c>
      <x:c r="K670" s="16" t="n">
        <x:f>IFERROR(J670/H670,0)</x:f>
        <x:v>0.3954820235443843</x:v>
      </x:c>
      <x:c r="L670" s="14" t="str">
        <x:f>IF(J670&gt;0,"Provisional positive contribution","Not viable")</x:f>
        <x:v>Provisional positive contribution</x:v>
      </x:c>
    </x:row>
    <x:row r="671">
      <x:c r="A671" s="14" t="str">
        <x:v>220gsm Cotton</x:v>
      </x:c>
      <x:c r="B671" s="14" t="n">
        <x:v>50</x:v>
      </x:c>
      <x:c r="C671" s="15" t="n">
        <x:v>649</x:v>
      </x:c>
      <x:c r="D671" s="15" t="n">
        <x:v>449</x:v>
      </x:c>
      <x:c r="E671" s="16" t="n">
        <x:v>0.35</x:v>
      </x:c>
      <x:c r="F671" s="15" t="n">
        <x:f>INDEX('Inputs'!$D$4:$D$6,MATCH(A671,'Inputs'!$A$4:$A$6,0))</x:f>
        <x:v>105</x:v>
      </x:c>
      <x:c r="G671" s="15" t="n">
        <x:f>INDEX('Inputs'!$E$4:$E$6,MATCH(A671,'Inputs'!$A$4:$A$6,0))</x:f>
        <x:v>85</x:v>
      </x:c>
      <x:c r="H671" s="15" t="n">
        <x:f>D671*(1-E671)</x:f>
        <x:v>291.85</x:v>
      </x:c>
      <x:c r="I671" s="15" t="n">
        <x:f>F671+G671</x:f>
        <x:v>190</x:v>
      </x:c>
      <x:c r="J671" s="15" t="n">
        <x:f>H671-I671</x:f>
        <x:v>101.85000000000002</x:v>
      </x:c>
      <x:c r="K671" s="16" t="n">
        <x:f>IFERROR(J671/H671,0)</x:f>
        <x:v>0.34898064074010626</x:v>
      </x:c>
      <x:c r="L671" s="14" t="str">
        <x:f>IF(J671&gt;0,"Provisional positive contribution","Not viable")</x:f>
        <x:v>Provisional positive contribution</x:v>
      </x:c>
    </x:row>
    <x:row r="672">
      <x:c r="A672" s="14" t="str">
        <x:v>220gsm Cotton</x:v>
      </x:c>
      <x:c r="B672" s="14" t="n">
        <x:v>50</x:v>
      </x:c>
      <x:c r="C672" s="15" t="n">
        <x:v>649</x:v>
      </x:c>
      <x:c r="D672" s="15" t="n">
        <x:v>499</x:v>
      </x:c>
      <x:c r="E672" s="16" t="n">
        <x:v>0.2</x:v>
      </x:c>
      <x:c r="F672" s="15" t="n">
        <x:f>INDEX('Inputs'!$D$4:$D$6,MATCH(A672,'Inputs'!$A$4:$A$6,0))</x:f>
        <x:v>105</x:v>
      </x:c>
      <x:c r="G672" s="15" t="n">
        <x:f>INDEX('Inputs'!$E$4:$E$6,MATCH(A672,'Inputs'!$A$4:$A$6,0))</x:f>
        <x:v>85</x:v>
      </x:c>
      <x:c r="H672" s="15" t="n">
        <x:f>D672*(1-E672)</x:f>
        <x:v>399.20000000000005</x:v>
      </x:c>
      <x:c r="I672" s="15" t="n">
        <x:f>F672+G672</x:f>
        <x:v>190</x:v>
      </x:c>
      <x:c r="J672" s="15" t="n">
        <x:f>H672-I672</x:f>
        <x:v>209.20000000000005</x:v>
      </x:c>
      <x:c r="K672" s="16" t="n">
        <x:f>IFERROR(J672/H672,0)</x:f>
        <x:v>0.5240480961923848</x:v>
      </x:c>
      <x:c r="L672" s="14" t="str">
        <x:f>IF(J672&gt;0,"Provisional positive contribution","Not viable")</x:f>
        <x:v>Provisional positive contribution</x:v>
      </x:c>
    </x:row>
    <x:row r="673">
      <x:c r="A673" s="14" t="str">
        <x:v>220gsm Cotton</x:v>
      </x:c>
      <x:c r="B673" s="14" t="n">
        <x:v>50</x:v>
      </x:c>
      <x:c r="C673" s="15" t="n">
        <x:v>649</x:v>
      </x:c>
      <x:c r="D673" s="15" t="n">
        <x:v>499</x:v>
      </x:c>
      <x:c r="E673" s="16" t="n">
        <x:v>0.25</x:v>
      </x:c>
      <x:c r="F673" s="15" t="n">
        <x:f>INDEX('Inputs'!$D$4:$D$6,MATCH(A673,'Inputs'!$A$4:$A$6,0))</x:f>
        <x:v>105</x:v>
      </x:c>
      <x:c r="G673" s="15" t="n">
        <x:f>INDEX('Inputs'!$E$4:$E$6,MATCH(A673,'Inputs'!$A$4:$A$6,0))</x:f>
        <x:v>85</x:v>
      </x:c>
      <x:c r="H673" s="15" t="n">
        <x:f>D673*(1-E673)</x:f>
        <x:v>374.25</x:v>
      </x:c>
      <x:c r="I673" s="15" t="n">
        <x:f>F673+G673</x:f>
        <x:v>190</x:v>
      </x:c>
      <x:c r="J673" s="15" t="n">
        <x:f>H673-I673</x:f>
        <x:v>184.25</x:v>
      </x:c>
      <x:c r="K673" s="16" t="n">
        <x:f>IFERROR(J673/H673,0)</x:f>
        <x:v>0.4923179692718771</x:v>
      </x:c>
      <x:c r="L673" s="14" t="str">
        <x:f>IF(J673&gt;0,"Provisional positive contribution","Not viable")</x:f>
        <x:v>Provisional positive contribution</x:v>
      </x:c>
    </x:row>
    <x:row r="674">
      <x:c r="A674" s="14" t="str">
        <x:v>220gsm Cotton</x:v>
      </x:c>
      <x:c r="B674" s="14" t="n">
        <x:v>50</x:v>
      </x:c>
      <x:c r="C674" s="15" t="n">
        <x:v>649</x:v>
      </x:c>
      <x:c r="D674" s="15" t="n">
        <x:v>499</x:v>
      </x:c>
      <x:c r="E674" s="16" t="n">
        <x:v>0.3</x:v>
      </x:c>
      <x:c r="F674" s="15" t="n">
        <x:f>INDEX('Inputs'!$D$4:$D$6,MATCH(A674,'Inputs'!$A$4:$A$6,0))</x:f>
        <x:v>105</x:v>
      </x:c>
      <x:c r="G674" s="15" t="n">
        <x:f>INDEX('Inputs'!$E$4:$E$6,MATCH(A674,'Inputs'!$A$4:$A$6,0))</x:f>
        <x:v>85</x:v>
      </x:c>
      <x:c r="H674" s="15" t="n">
        <x:f>D674*(1-E674)</x:f>
        <x:v>349.29999999999995</x:v>
      </x:c>
      <x:c r="I674" s="15" t="n">
        <x:f>F674+G674</x:f>
        <x:v>190</x:v>
      </x:c>
      <x:c r="J674" s="15" t="n">
        <x:f>H674-I674</x:f>
        <x:v>159.29999999999995</x:v>
      </x:c>
      <x:c r="K674" s="16" t="n">
        <x:f>IFERROR(J674/H674,0)</x:f>
        <x:v>0.4560549670770111</x:v>
      </x:c>
      <x:c r="L674" s="14" t="str">
        <x:f>IF(J674&gt;0,"Provisional positive contribution","Not viable")</x:f>
        <x:v>Provisional positive contribution</x:v>
      </x:c>
    </x:row>
    <x:row r="675">
      <x:c r="A675" s="14" t="str">
        <x:v>220gsm Cotton</x:v>
      </x:c>
      <x:c r="B675" s="14" t="n">
        <x:v>50</x:v>
      </x:c>
      <x:c r="C675" s="15" t="n">
        <x:v>649</x:v>
      </x:c>
      <x:c r="D675" s="15" t="n">
        <x:v>499</x:v>
      </x:c>
      <x:c r="E675" s="16" t="n">
        <x:v>0.35</x:v>
      </x:c>
      <x:c r="F675" s="15" t="n">
        <x:f>INDEX('Inputs'!$D$4:$D$6,MATCH(A675,'Inputs'!$A$4:$A$6,0))</x:f>
        <x:v>105</x:v>
      </x:c>
      <x:c r="G675" s="15" t="n">
        <x:f>INDEX('Inputs'!$E$4:$E$6,MATCH(A675,'Inputs'!$A$4:$A$6,0))</x:f>
        <x:v>85</x:v>
      </x:c>
      <x:c r="H675" s="15" t="n">
        <x:f>D675*(1-E675)</x:f>
        <x:v>324.35</x:v>
      </x:c>
      <x:c r="I675" s="15" t="n">
        <x:f>F675+G675</x:f>
        <x:v>190</x:v>
      </x:c>
      <x:c r="J675" s="15" t="n">
        <x:f>H675-I675</x:f>
        <x:v>134.35000000000002</x:v>
      </x:c>
      <x:c r="K675" s="16" t="n">
        <x:f>IFERROR(J675/H675,0)</x:f>
        <x:v>0.4142130414675505</x:v>
      </x:c>
      <x:c r="L675" s="14" t="str">
        <x:f>IF(J675&gt;0,"Provisional positive contribution","Not viable")</x:f>
        <x:v>Provisional positive contribution</x:v>
      </x:c>
    </x:row>
    <x:row r="676">
      <x:c r="A676" s="14" t="str">
        <x:v>220gsm Cotton</x:v>
      </x:c>
      <x:c r="B676" s="14" t="n">
        <x:v>50</x:v>
      </x:c>
      <x:c r="C676" s="15" t="n">
        <x:v>699</x:v>
      </x:c>
      <x:c r="D676" s="15" t="n">
        <x:v>349</x:v>
      </x:c>
      <x:c r="E676" s="16" t="n">
        <x:v>0.2</x:v>
      </x:c>
      <x:c r="F676" s="15" t="n">
        <x:f>INDEX('Inputs'!$D$4:$D$6,MATCH(A676,'Inputs'!$A$4:$A$6,0))</x:f>
        <x:v>105</x:v>
      </x:c>
      <x:c r="G676" s="15" t="n">
        <x:f>INDEX('Inputs'!$E$4:$E$6,MATCH(A676,'Inputs'!$A$4:$A$6,0))</x:f>
        <x:v>85</x:v>
      </x:c>
      <x:c r="H676" s="15" t="n">
        <x:f>D676*(1-E676)</x:f>
        <x:v>279.2</x:v>
      </x:c>
      <x:c r="I676" s="15" t="n">
        <x:f>F676+G676</x:f>
        <x:v>190</x:v>
      </x:c>
      <x:c r="J676" s="15" t="n">
        <x:f>H676-I676</x:f>
        <x:v>89.19999999999999</x:v>
      </x:c>
      <x:c r="K676" s="16" t="n">
        <x:f>IFERROR(J676/H676,0)</x:f>
        <x:v>0.31948424068767906</x:v>
      </x:c>
      <x:c r="L676" s="14" t="str">
        <x:f>IF(J676&gt;0,"Provisional positive contribution","Not viable")</x:f>
        <x:v>Provisional positive contribution</x:v>
      </x:c>
    </x:row>
    <x:row r="677">
      <x:c r="A677" s="14" t="str">
        <x:v>220gsm Cotton</x:v>
      </x:c>
      <x:c r="B677" s="14" t="n">
        <x:v>50</x:v>
      </x:c>
      <x:c r="C677" s="15" t="n">
        <x:v>699</x:v>
      </x:c>
      <x:c r="D677" s="15" t="n">
        <x:v>349</x:v>
      </x:c>
      <x:c r="E677" s="16" t="n">
        <x:v>0.25</x:v>
      </x:c>
      <x:c r="F677" s="15" t="n">
        <x:f>INDEX('Inputs'!$D$4:$D$6,MATCH(A677,'Inputs'!$A$4:$A$6,0))</x:f>
        <x:v>105</x:v>
      </x:c>
      <x:c r="G677" s="15" t="n">
        <x:f>INDEX('Inputs'!$E$4:$E$6,MATCH(A677,'Inputs'!$A$4:$A$6,0))</x:f>
        <x:v>85</x:v>
      </x:c>
      <x:c r="H677" s="15" t="n">
        <x:f>D677*(1-E677)</x:f>
        <x:v>261.75</x:v>
      </x:c>
      <x:c r="I677" s="15" t="n">
        <x:f>F677+G677</x:f>
        <x:v>190</x:v>
      </x:c>
      <x:c r="J677" s="15" t="n">
        <x:f>H677-I677</x:f>
        <x:v>71.75</x:v>
      </x:c>
      <x:c r="K677" s="16" t="n">
        <x:f>IFERROR(J677/H677,0)</x:f>
        <x:v>0.27411652340019105</x:v>
      </x:c>
      <x:c r="L677" s="14" t="str">
        <x:f>IF(J677&gt;0,"Provisional positive contribution","Not viable")</x:f>
        <x:v>Provisional positive contribution</x:v>
      </x:c>
    </x:row>
    <x:row r="678">
      <x:c r="A678" s="14" t="str">
        <x:v>220gsm Cotton</x:v>
      </x:c>
      <x:c r="B678" s="14" t="n">
        <x:v>50</x:v>
      </x:c>
      <x:c r="C678" s="15" t="n">
        <x:v>699</x:v>
      </x:c>
      <x:c r="D678" s="15" t="n">
        <x:v>349</x:v>
      </x:c>
      <x:c r="E678" s="16" t="n">
        <x:v>0.3</x:v>
      </x:c>
      <x:c r="F678" s="15" t="n">
        <x:f>INDEX('Inputs'!$D$4:$D$6,MATCH(A678,'Inputs'!$A$4:$A$6,0))</x:f>
        <x:v>105</x:v>
      </x:c>
      <x:c r="G678" s="15" t="n">
        <x:f>INDEX('Inputs'!$E$4:$E$6,MATCH(A678,'Inputs'!$A$4:$A$6,0))</x:f>
        <x:v>85</x:v>
      </x:c>
      <x:c r="H678" s="15" t="n">
        <x:f>D678*(1-E678)</x:f>
        <x:v>244.29999999999998</x:v>
      </x:c>
      <x:c r="I678" s="15" t="n">
        <x:f>F678+G678</x:f>
        <x:v>190</x:v>
      </x:c>
      <x:c r="J678" s="15" t="n">
        <x:f>H678-I678</x:f>
        <x:v>54.29999999999998</x:v>
      </x:c>
      <x:c r="K678" s="16" t="n">
        <x:f>IFERROR(J678/H678,0)</x:f>
        <x:v>0.22226770364306175</x:v>
      </x:c>
      <x:c r="L678" s="14" t="str">
        <x:f>IF(J678&gt;0,"Provisional positive contribution","Not viable")</x:f>
        <x:v>Provisional positive contribution</x:v>
      </x:c>
    </x:row>
    <x:row r="679">
      <x:c r="A679" s="14" t="str">
        <x:v>220gsm Cotton</x:v>
      </x:c>
      <x:c r="B679" s="14" t="n">
        <x:v>50</x:v>
      </x:c>
      <x:c r="C679" s="15" t="n">
        <x:v>699</x:v>
      </x:c>
      <x:c r="D679" s="15" t="n">
        <x:v>349</x:v>
      </x:c>
      <x:c r="E679" s="16" t="n">
        <x:v>0.35</x:v>
      </x:c>
      <x:c r="F679" s="15" t="n">
        <x:f>INDEX('Inputs'!$D$4:$D$6,MATCH(A679,'Inputs'!$A$4:$A$6,0))</x:f>
        <x:v>105</x:v>
      </x:c>
      <x:c r="G679" s="15" t="n">
        <x:f>INDEX('Inputs'!$E$4:$E$6,MATCH(A679,'Inputs'!$A$4:$A$6,0))</x:f>
        <x:v>85</x:v>
      </x:c>
      <x:c r="H679" s="15" t="n">
        <x:f>D679*(1-E679)</x:f>
        <x:v>226.85</x:v>
      </x:c>
      <x:c r="I679" s="15" t="n">
        <x:f>F679+G679</x:f>
        <x:v>190</x:v>
      </x:c>
      <x:c r="J679" s="15" t="n">
        <x:f>H679-I679</x:f>
        <x:v>36.849999999999994</x:v>
      </x:c>
      <x:c r="K679" s="16" t="n">
        <x:f>IFERROR(J679/H679,0)</x:f>
        <x:v>0.16244214238483579</x:v>
      </x:c>
      <x:c r="L679" s="14" t="str">
        <x:f>IF(J679&gt;0,"Provisional positive contribution","Not viable")</x:f>
        <x:v>Provisional positive contribution</x:v>
      </x:c>
    </x:row>
    <x:row r="680">
      <x:c r="A680" s="14" t="str">
        <x:v>220gsm Cotton</x:v>
      </x:c>
      <x:c r="B680" s="14" t="n">
        <x:v>50</x:v>
      </x:c>
      <x:c r="C680" s="15" t="n">
        <x:v>699</x:v>
      </x:c>
      <x:c r="D680" s="15" t="n">
        <x:v>399</x:v>
      </x:c>
      <x:c r="E680" s="16" t="n">
        <x:v>0.2</x:v>
      </x:c>
      <x:c r="F680" s="15" t="n">
        <x:f>INDEX('Inputs'!$D$4:$D$6,MATCH(A680,'Inputs'!$A$4:$A$6,0))</x:f>
        <x:v>105</x:v>
      </x:c>
      <x:c r="G680" s="15" t="n">
        <x:f>INDEX('Inputs'!$E$4:$E$6,MATCH(A680,'Inputs'!$A$4:$A$6,0))</x:f>
        <x:v>85</x:v>
      </x:c>
      <x:c r="H680" s="15" t="n">
        <x:f>D680*(1-E680)</x:f>
        <x:v>319.20000000000005</x:v>
      </x:c>
      <x:c r="I680" s="15" t="n">
        <x:f>F680+G680</x:f>
        <x:v>190</x:v>
      </x:c>
      <x:c r="J680" s="15" t="n">
        <x:f>H680-I680</x:f>
        <x:v>129.20000000000005</x:v>
      </x:c>
      <x:c r="K680" s="16" t="n">
        <x:f>IFERROR(J680/H680,0)</x:f>
        <x:v>0.4047619047619048</x:v>
      </x:c>
      <x:c r="L680" s="14" t="str">
        <x:f>IF(J680&gt;0,"Provisional positive contribution","Not viable")</x:f>
        <x:v>Provisional positive contribution</x:v>
      </x:c>
    </x:row>
    <x:row r="681">
      <x:c r="A681" s="14" t="str">
        <x:v>220gsm Cotton</x:v>
      </x:c>
      <x:c r="B681" s="14" t="n">
        <x:v>50</x:v>
      </x:c>
      <x:c r="C681" s="15" t="n">
        <x:v>699</x:v>
      </x:c>
      <x:c r="D681" s="15" t="n">
        <x:v>399</x:v>
      </x:c>
      <x:c r="E681" s="16" t="n">
        <x:v>0.25</x:v>
      </x:c>
      <x:c r="F681" s="15" t="n">
        <x:f>INDEX('Inputs'!$D$4:$D$6,MATCH(A681,'Inputs'!$A$4:$A$6,0))</x:f>
        <x:v>105</x:v>
      </x:c>
      <x:c r="G681" s="15" t="n">
        <x:f>INDEX('Inputs'!$E$4:$E$6,MATCH(A681,'Inputs'!$A$4:$A$6,0))</x:f>
        <x:v>85</x:v>
      </x:c>
      <x:c r="H681" s="15" t="n">
        <x:f>D681*(1-E681)</x:f>
        <x:v>299.25</x:v>
      </x:c>
      <x:c r="I681" s="15" t="n">
        <x:f>F681+G681</x:f>
        <x:v>190</x:v>
      </x:c>
      <x:c r="J681" s="15" t="n">
        <x:f>H681-I681</x:f>
        <x:v>109.25</x:v>
      </x:c>
      <x:c r="K681" s="16" t="n">
        <x:f>IFERROR(J681/H681,0)</x:f>
        <x:v>0.36507936507936506</x:v>
      </x:c>
      <x:c r="L681" s="14" t="str">
        <x:f>IF(J681&gt;0,"Provisional positive contribution","Not viable")</x:f>
        <x:v>Provisional positive contribution</x:v>
      </x:c>
    </x:row>
    <x:row r="682">
      <x:c r="A682" s="14" t="str">
        <x:v>220gsm Cotton</x:v>
      </x:c>
      <x:c r="B682" s="14" t="n">
        <x:v>50</x:v>
      </x:c>
      <x:c r="C682" s="15" t="n">
        <x:v>699</x:v>
      </x:c>
      <x:c r="D682" s="15" t="n">
        <x:v>399</x:v>
      </x:c>
      <x:c r="E682" s="16" t="n">
        <x:v>0.3</x:v>
      </x:c>
      <x:c r="F682" s="15" t="n">
        <x:f>INDEX('Inputs'!$D$4:$D$6,MATCH(A682,'Inputs'!$A$4:$A$6,0))</x:f>
        <x:v>105</x:v>
      </x:c>
      <x:c r="G682" s="15" t="n">
        <x:f>INDEX('Inputs'!$E$4:$E$6,MATCH(A682,'Inputs'!$A$4:$A$6,0))</x:f>
        <x:v>85</x:v>
      </x:c>
      <x:c r="H682" s="15" t="n">
        <x:f>D682*(1-E682)</x:f>
        <x:v>279.29999999999995</x:v>
      </x:c>
      <x:c r="I682" s="15" t="n">
        <x:f>F682+G682</x:f>
        <x:v>190</x:v>
      </x:c>
      <x:c r="J682" s="15" t="n">
        <x:f>H682-I682</x:f>
        <x:v>89.29999999999995</x:v>
      </x:c>
      <x:c r="K682" s="16" t="n">
        <x:f>IFERROR(J682/H682,0)</x:f>
        <x:v>0.3197278911564625</x:v>
      </x:c>
      <x:c r="L682" s="14" t="str">
        <x:f>IF(J682&gt;0,"Provisional positive contribution","Not viable")</x:f>
        <x:v>Provisional positive contribution</x:v>
      </x:c>
    </x:row>
    <x:row r="683">
      <x:c r="A683" s="14" t="str">
        <x:v>220gsm Cotton</x:v>
      </x:c>
      <x:c r="B683" s="14" t="n">
        <x:v>50</x:v>
      </x:c>
      <x:c r="C683" s="15" t="n">
        <x:v>699</x:v>
      </x:c>
      <x:c r="D683" s="15" t="n">
        <x:v>399</x:v>
      </x:c>
      <x:c r="E683" s="16" t="n">
        <x:v>0.35</x:v>
      </x:c>
      <x:c r="F683" s="15" t="n">
        <x:f>INDEX('Inputs'!$D$4:$D$6,MATCH(A683,'Inputs'!$A$4:$A$6,0))</x:f>
        <x:v>105</x:v>
      </x:c>
      <x:c r="G683" s="15" t="n">
        <x:f>INDEX('Inputs'!$E$4:$E$6,MATCH(A683,'Inputs'!$A$4:$A$6,0))</x:f>
        <x:v>85</x:v>
      </x:c>
      <x:c r="H683" s="15" t="n">
        <x:f>D683*(1-E683)</x:f>
        <x:v>259.35</x:v>
      </x:c>
      <x:c r="I683" s="15" t="n">
        <x:f>F683+G683</x:f>
        <x:v>190</x:v>
      </x:c>
      <x:c r="J683" s="15" t="n">
        <x:f>H683-I683</x:f>
        <x:v>69.35000000000002</x:v>
      </x:c>
      <x:c r="K683" s="16" t="n">
        <x:f>IFERROR(J683/H683,0)</x:f>
        <x:v>0.26739926739926745</x:v>
      </x:c>
      <x:c r="L683" s="14" t="str">
        <x:f>IF(J683&gt;0,"Provisional positive contribution","Not viable")</x:f>
        <x:v>Provisional positive contribution</x:v>
      </x:c>
    </x:row>
    <x:row r="684">
      <x:c r="A684" s="14" t="str">
        <x:v>220gsm Cotton</x:v>
      </x:c>
      <x:c r="B684" s="14" t="n">
        <x:v>50</x:v>
      </x:c>
      <x:c r="C684" s="15" t="n">
        <x:v>699</x:v>
      </x:c>
      <x:c r="D684" s="15" t="n">
        <x:v>449</x:v>
      </x:c>
      <x:c r="E684" s="16" t="n">
        <x:v>0.2</x:v>
      </x:c>
      <x:c r="F684" s="15" t="n">
        <x:f>INDEX('Inputs'!$D$4:$D$6,MATCH(A684,'Inputs'!$A$4:$A$6,0))</x:f>
        <x:v>105</x:v>
      </x:c>
      <x:c r="G684" s="15" t="n">
        <x:f>INDEX('Inputs'!$E$4:$E$6,MATCH(A684,'Inputs'!$A$4:$A$6,0))</x:f>
        <x:v>85</x:v>
      </x:c>
      <x:c r="H684" s="15" t="n">
        <x:f>D684*(1-E684)</x:f>
        <x:v>359.20000000000005</x:v>
      </x:c>
      <x:c r="I684" s="15" t="n">
        <x:f>F684+G684</x:f>
        <x:v>190</x:v>
      </x:c>
      <x:c r="J684" s="15" t="n">
        <x:f>H684-I684</x:f>
        <x:v>169.20000000000005</x:v>
      </x:c>
      <x:c r="K684" s="16" t="n">
        <x:f>IFERROR(J684/H684,0)</x:f>
        <x:v>0.4710467706013364</x:v>
      </x:c>
      <x:c r="L684" s="14" t="str">
        <x:f>IF(J684&gt;0,"Provisional positive contribution","Not viable")</x:f>
        <x:v>Provisional positive contribution</x:v>
      </x:c>
    </x:row>
    <x:row r="685">
      <x:c r="A685" s="14" t="str">
        <x:v>220gsm Cotton</x:v>
      </x:c>
      <x:c r="B685" s="14" t="n">
        <x:v>50</x:v>
      </x:c>
      <x:c r="C685" s="15" t="n">
        <x:v>699</x:v>
      </x:c>
      <x:c r="D685" s="15" t="n">
        <x:v>449</x:v>
      </x:c>
      <x:c r="E685" s="16" t="n">
        <x:v>0.25</x:v>
      </x:c>
      <x:c r="F685" s="15" t="n">
        <x:f>INDEX('Inputs'!$D$4:$D$6,MATCH(A685,'Inputs'!$A$4:$A$6,0))</x:f>
        <x:v>105</x:v>
      </x:c>
      <x:c r="G685" s="15" t="n">
        <x:f>INDEX('Inputs'!$E$4:$E$6,MATCH(A685,'Inputs'!$A$4:$A$6,0))</x:f>
        <x:v>85</x:v>
      </x:c>
      <x:c r="H685" s="15" t="n">
        <x:f>D685*(1-E685)</x:f>
        <x:v>336.75</x:v>
      </x:c>
      <x:c r="I685" s="15" t="n">
        <x:f>F685+G685</x:f>
        <x:v>190</x:v>
      </x:c>
      <x:c r="J685" s="15" t="n">
        <x:f>H685-I685</x:f>
        <x:v>146.75</x:v>
      </x:c>
      <x:c r="K685" s="16" t="n">
        <x:f>IFERROR(J685/H685,0)</x:f>
        <x:v>0.4357832219747587</x:v>
      </x:c>
      <x:c r="L685" s="14" t="str">
        <x:f>IF(J685&gt;0,"Provisional positive contribution","Not viable")</x:f>
        <x:v>Provisional positive contribution</x:v>
      </x:c>
    </x:row>
    <x:row r="686">
      <x:c r="A686" s="14" t="str">
        <x:v>220gsm Cotton</x:v>
      </x:c>
      <x:c r="B686" s="14" t="n">
        <x:v>50</x:v>
      </x:c>
      <x:c r="C686" s="15" t="n">
        <x:v>699</x:v>
      </x:c>
      <x:c r="D686" s="15" t="n">
        <x:v>449</x:v>
      </x:c>
      <x:c r="E686" s="16" t="n">
        <x:v>0.3</x:v>
      </x:c>
      <x:c r="F686" s="15" t="n">
        <x:f>INDEX('Inputs'!$D$4:$D$6,MATCH(A686,'Inputs'!$A$4:$A$6,0))</x:f>
        <x:v>105</x:v>
      </x:c>
      <x:c r="G686" s="15" t="n">
        <x:f>INDEX('Inputs'!$E$4:$E$6,MATCH(A686,'Inputs'!$A$4:$A$6,0))</x:f>
        <x:v>85</x:v>
      </x:c>
      <x:c r="H686" s="15" t="n">
        <x:f>D686*(1-E686)</x:f>
        <x:v>314.29999999999995</x:v>
      </x:c>
      <x:c r="I686" s="15" t="n">
        <x:f>F686+G686</x:f>
        <x:v>190</x:v>
      </x:c>
      <x:c r="J686" s="15" t="n">
        <x:f>H686-I686</x:f>
        <x:v>124.29999999999995</x:v>
      </x:c>
      <x:c r="K686" s="16" t="n">
        <x:f>IFERROR(J686/H686,0)</x:f>
        <x:v>0.3954820235443843</x:v>
      </x:c>
      <x:c r="L686" s="14" t="str">
        <x:f>IF(J686&gt;0,"Provisional positive contribution","Not viable")</x:f>
        <x:v>Provisional positive contribution</x:v>
      </x:c>
    </x:row>
    <x:row r="687">
      <x:c r="A687" s="14" t="str">
        <x:v>220gsm Cotton</x:v>
      </x:c>
      <x:c r="B687" s="14" t="n">
        <x:v>50</x:v>
      </x:c>
      <x:c r="C687" s="15" t="n">
        <x:v>699</x:v>
      </x:c>
      <x:c r="D687" s="15" t="n">
        <x:v>449</x:v>
      </x:c>
      <x:c r="E687" s="16" t="n">
        <x:v>0.35</x:v>
      </x:c>
      <x:c r="F687" s="15" t="n">
        <x:f>INDEX('Inputs'!$D$4:$D$6,MATCH(A687,'Inputs'!$A$4:$A$6,0))</x:f>
        <x:v>105</x:v>
      </x:c>
      <x:c r="G687" s="15" t="n">
        <x:f>INDEX('Inputs'!$E$4:$E$6,MATCH(A687,'Inputs'!$A$4:$A$6,0))</x:f>
        <x:v>85</x:v>
      </x:c>
      <x:c r="H687" s="15" t="n">
        <x:f>D687*(1-E687)</x:f>
        <x:v>291.85</x:v>
      </x:c>
      <x:c r="I687" s="15" t="n">
        <x:f>F687+G687</x:f>
        <x:v>190</x:v>
      </x:c>
      <x:c r="J687" s="15" t="n">
        <x:f>H687-I687</x:f>
        <x:v>101.85000000000002</x:v>
      </x:c>
      <x:c r="K687" s="16" t="n">
        <x:f>IFERROR(J687/H687,0)</x:f>
        <x:v>0.34898064074010626</x:v>
      </x:c>
      <x:c r="L687" s="14" t="str">
        <x:f>IF(J687&gt;0,"Provisional positive contribution","Not viable")</x:f>
        <x:v>Provisional positive contribution</x:v>
      </x:c>
    </x:row>
    <x:row r="688">
      <x:c r="A688" s="14" t="str">
        <x:v>220gsm Cotton</x:v>
      </x:c>
      <x:c r="B688" s="14" t="n">
        <x:v>50</x:v>
      </x:c>
      <x:c r="C688" s="15" t="n">
        <x:v>699</x:v>
      </x:c>
      <x:c r="D688" s="15" t="n">
        <x:v>499</x:v>
      </x:c>
      <x:c r="E688" s="16" t="n">
        <x:v>0.2</x:v>
      </x:c>
      <x:c r="F688" s="15" t="n">
        <x:f>INDEX('Inputs'!$D$4:$D$6,MATCH(A688,'Inputs'!$A$4:$A$6,0))</x:f>
        <x:v>105</x:v>
      </x:c>
      <x:c r="G688" s="15" t="n">
        <x:f>INDEX('Inputs'!$E$4:$E$6,MATCH(A688,'Inputs'!$A$4:$A$6,0))</x:f>
        <x:v>85</x:v>
      </x:c>
      <x:c r="H688" s="15" t="n">
        <x:f>D688*(1-E688)</x:f>
        <x:v>399.20000000000005</x:v>
      </x:c>
      <x:c r="I688" s="15" t="n">
        <x:f>F688+G688</x:f>
        <x:v>190</x:v>
      </x:c>
      <x:c r="J688" s="15" t="n">
        <x:f>H688-I688</x:f>
        <x:v>209.20000000000005</x:v>
      </x:c>
      <x:c r="K688" s="16" t="n">
        <x:f>IFERROR(J688/H688,0)</x:f>
        <x:v>0.5240480961923848</x:v>
      </x:c>
      <x:c r="L688" s="14" t="str">
        <x:f>IF(J688&gt;0,"Provisional positive contribution","Not viable")</x:f>
        <x:v>Provisional positive contribution</x:v>
      </x:c>
    </x:row>
    <x:row r="689">
      <x:c r="A689" s="14" t="str">
        <x:v>220gsm Cotton</x:v>
      </x:c>
      <x:c r="B689" s="14" t="n">
        <x:v>50</x:v>
      </x:c>
      <x:c r="C689" s="15" t="n">
        <x:v>699</x:v>
      </x:c>
      <x:c r="D689" s="15" t="n">
        <x:v>499</x:v>
      </x:c>
      <x:c r="E689" s="16" t="n">
        <x:v>0.25</x:v>
      </x:c>
      <x:c r="F689" s="15" t="n">
        <x:f>INDEX('Inputs'!$D$4:$D$6,MATCH(A689,'Inputs'!$A$4:$A$6,0))</x:f>
        <x:v>105</x:v>
      </x:c>
      <x:c r="G689" s="15" t="n">
        <x:f>INDEX('Inputs'!$E$4:$E$6,MATCH(A689,'Inputs'!$A$4:$A$6,0))</x:f>
        <x:v>85</x:v>
      </x:c>
      <x:c r="H689" s="15" t="n">
        <x:f>D689*(1-E689)</x:f>
        <x:v>374.25</x:v>
      </x:c>
      <x:c r="I689" s="15" t="n">
        <x:f>F689+G689</x:f>
        <x:v>190</x:v>
      </x:c>
      <x:c r="J689" s="15" t="n">
        <x:f>H689-I689</x:f>
        <x:v>184.25</x:v>
      </x:c>
      <x:c r="K689" s="16" t="n">
        <x:f>IFERROR(J689/H689,0)</x:f>
        <x:v>0.4923179692718771</x:v>
      </x:c>
      <x:c r="L689" s="14" t="str">
        <x:f>IF(J689&gt;0,"Provisional positive contribution","Not viable")</x:f>
        <x:v>Provisional positive contribution</x:v>
      </x:c>
    </x:row>
    <x:row r="690">
      <x:c r="A690" s="14" t="str">
        <x:v>220gsm Cotton</x:v>
      </x:c>
      <x:c r="B690" s="14" t="n">
        <x:v>50</x:v>
      </x:c>
      <x:c r="C690" s="15" t="n">
        <x:v>699</x:v>
      </x:c>
      <x:c r="D690" s="15" t="n">
        <x:v>499</x:v>
      </x:c>
      <x:c r="E690" s="16" t="n">
        <x:v>0.3</x:v>
      </x:c>
      <x:c r="F690" s="15" t="n">
        <x:f>INDEX('Inputs'!$D$4:$D$6,MATCH(A690,'Inputs'!$A$4:$A$6,0))</x:f>
        <x:v>105</x:v>
      </x:c>
      <x:c r="G690" s="15" t="n">
        <x:f>INDEX('Inputs'!$E$4:$E$6,MATCH(A690,'Inputs'!$A$4:$A$6,0))</x:f>
        <x:v>85</x:v>
      </x:c>
      <x:c r="H690" s="15" t="n">
        <x:f>D690*(1-E690)</x:f>
        <x:v>349.29999999999995</x:v>
      </x:c>
      <x:c r="I690" s="15" t="n">
        <x:f>F690+G690</x:f>
        <x:v>190</x:v>
      </x:c>
      <x:c r="J690" s="15" t="n">
        <x:f>H690-I690</x:f>
        <x:v>159.29999999999995</x:v>
      </x:c>
      <x:c r="K690" s="16" t="n">
        <x:f>IFERROR(J690/H690,0)</x:f>
        <x:v>0.4560549670770111</x:v>
      </x:c>
      <x:c r="L690" s="14" t="str">
        <x:f>IF(J690&gt;0,"Provisional positive contribution","Not viable")</x:f>
        <x:v>Provisional positive contribution</x:v>
      </x:c>
    </x:row>
    <x:row r="691">
      <x:c r="A691" s="14" t="str">
        <x:v>220gsm Cotton</x:v>
      </x:c>
      <x:c r="B691" s="14" t="n">
        <x:v>50</x:v>
      </x:c>
      <x:c r="C691" s="15" t="n">
        <x:v>699</x:v>
      </x:c>
      <x:c r="D691" s="15" t="n">
        <x:v>499</x:v>
      </x:c>
      <x:c r="E691" s="16" t="n">
        <x:v>0.35</x:v>
      </x:c>
      <x:c r="F691" s="15" t="n">
        <x:f>INDEX('Inputs'!$D$4:$D$6,MATCH(A691,'Inputs'!$A$4:$A$6,0))</x:f>
        <x:v>105</x:v>
      </x:c>
      <x:c r="G691" s="15" t="n">
        <x:f>INDEX('Inputs'!$E$4:$E$6,MATCH(A691,'Inputs'!$A$4:$A$6,0))</x:f>
        <x:v>85</x:v>
      </x:c>
      <x:c r="H691" s="15" t="n">
        <x:f>D691*(1-E691)</x:f>
        <x:v>324.35</x:v>
      </x:c>
      <x:c r="I691" s="15" t="n">
        <x:f>F691+G691</x:f>
        <x:v>190</x:v>
      </x:c>
      <x:c r="J691" s="15" t="n">
        <x:f>H691-I691</x:f>
        <x:v>134.35000000000002</x:v>
      </x:c>
      <x:c r="K691" s="16" t="n">
        <x:f>IFERROR(J691/H691,0)</x:f>
        <x:v>0.4142130414675505</x:v>
      </x:c>
      <x:c r="L691" s="14" t="str">
        <x:f>IF(J691&gt;0,"Provisional positive contribution","Not viable")</x:f>
        <x:v>Provisional positive contribution</x:v>
      </x:c>
    </x:row>
    <x:row r="692">
      <x:c r="A692" s="14" t="str">
        <x:v>220gsm Cotton</x:v>
      </x:c>
      <x:c r="B692" s="14" t="n">
        <x:v>50</x:v>
      </x:c>
      <x:c r="C692" s="15" t="n">
        <x:v>749</x:v>
      </x:c>
      <x:c r="D692" s="15" t="n">
        <x:v>349</x:v>
      </x:c>
      <x:c r="E692" s="16" t="n">
        <x:v>0.2</x:v>
      </x:c>
      <x:c r="F692" s="15" t="n">
        <x:f>INDEX('Inputs'!$D$4:$D$6,MATCH(A692,'Inputs'!$A$4:$A$6,0))</x:f>
        <x:v>105</x:v>
      </x:c>
      <x:c r="G692" s="15" t="n">
        <x:f>INDEX('Inputs'!$E$4:$E$6,MATCH(A692,'Inputs'!$A$4:$A$6,0))</x:f>
        <x:v>85</x:v>
      </x:c>
      <x:c r="H692" s="15" t="n">
        <x:f>D692*(1-E692)</x:f>
        <x:v>279.2</x:v>
      </x:c>
      <x:c r="I692" s="15" t="n">
        <x:f>F692+G692</x:f>
        <x:v>190</x:v>
      </x:c>
      <x:c r="J692" s="15" t="n">
        <x:f>H692-I692</x:f>
        <x:v>89.19999999999999</x:v>
      </x:c>
      <x:c r="K692" s="16" t="n">
        <x:f>IFERROR(J692/H692,0)</x:f>
        <x:v>0.31948424068767906</x:v>
      </x:c>
      <x:c r="L692" s="14" t="str">
        <x:f>IF(J692&gt;0,"Provisional positive contribution","Not viable")</x:f>
        <x:v>Provisional positive contribution</x:v>
      </x:c>
    </x:row>
    <x:row r="693">
      <x:c r="A693" s="14" t="str">
        <x:v>220gsm Cotton</x:v>
      </x:c>
      <x:c r="B693" s="14" t="n">
        <x:v>50</x:v>
      </x:c>
      <x:c r="C693" s="15" t="n">
        <x:v>749</x:v>
      </x:c>
      <x:c r="D693" s="15" t="n">
        <x:v>349</x:v>
      </x:c>
      <x:c r="E693" s="16" t="n">
        <x:v>0.25</x:v>
      </x:c>
      <x:c r="F693" s="15" t="n">
        <x:f>INDEX('Inputs'!$D$4:$D$6,MATCH(A693,'Inputs'!$A$4:$A$6,0))</x:f>
        <x:v>105</x:v>
      </x:c>
      <x:c r="G693" s="15" t="n">
        <x:f>INDEX('Inputs'!$E$4:$E$6,MATCH(A693,'Inputs'!$A$4:$A$6,0))</x:f>
        <x:v>85</x:v>
      </x:c>
      <x:c r="H693" s="15" t="n">
        <x:f>D693*(1-E693)</x:f>
        <x:v>261.75</x:v>
      </x:c>
      <x:c r="I693" s="15" t="n">
        <x:f>F693+G693</x:f>
        <x:v>190</x:v>
      </x:c>
      <x:c r="J693" s="15" t="n">
        <x:f>H693-I693</x:f>
        <x:v>71.75</x:v>
      </x:c>
      <x:c r="K693" s="16" t="n">
        <x:f>IFERROR(J693/H693,0)</x:f>
        <x:v>0.27411652340019105</x:v>
      </x:c>
      <x:c r="L693" s="14" t="str">
        <x:f>IF(J693&gt;0,"Provisional positive contribution","Not viable")</x:f>
        <x:v>Provisional positive contribution</x:v>
      </x:c>
    </x:row>
    <x:row r="694">
      <x:c r="A694" s="14" t="str">
        <x:v>220gsm Cotton</x:v>
      </x:c>
      <x:c r="B694" s="14" t="n">
        <x:v>50</x:v>
      </x:c>
      <x:c r="C694" s="15" t="n">
        <x:v>749</x:v>
      </x:c>
      <x:c r="D694" s="15" t="n">
        <x:v>349</x:v>
      </x:c>
      <x:c r="E694" s="16" t="n">
        <x:v>0.3</x:v>
      </x:c>
      <x:c r="F694" s="15" t="n">
        <x:f>INDEX('Inputs'!$D$4:$D$6,MATCH(A694,'Inputs'!$A$4:$A$6,0))</x:f>
        <x:v>105</x:v>
      </x:c>
      <x:c r="G694" s="15" t="n">
        <x:f>INDEX('Inputs'!$E$4:$E$6,MATCH(A694,'Inputs'!$A$4:$A$6,0))</x:f>
        <x:v>85</x:v>
      </x:c>
      <x:c r="H694" s="15" t="n">
        <x:f>D694*(1-E694)</x:f>
        <x:v>244.29999999999998</x:v>
      </x:c>
      <x:c r="I694" s="15" t="n">
        <x:f>F694+G694</x:f>
        <x:v>190</x:v>
      </x:c>
      <x:c r="J694" s="15" t="n">
        <x:f>H694-I694</x:f>
        <x:v>54.29999999999998</x:v>
      </x:c>
      <x:c r="K694" s="16" t="n">
        <x:f>IFERROR(J694/H694,0)</x:f>
        <x:v>0.22226770364306175</x:v>
      </x:c>
      <x:c r="L694" s="14" t="str">
        <x:f>IF(J694&gt;0,"Provisional positive contribution","Not viable")</x:f>
        <x:v>Provisional positive contribution</x:v>
      </x:c>
    </x:row>
    <x:row r="695">
      <x:c r="A695" s="14" t="str">
        <x:v>220gsm Cotton</x:v>
      </x:c>
      <x:c r="B695" s="14" t="n">
        <x:v>50</x:v>
      </x:c>
      <x:c r="C695" s="15" t="n">
        <x:v>749</x:v>
      </x:c>
      <x:c r="D695" s="15" t="n">
        <x:v>349</x:v>
      </x:c>
      <x:c r="E695" s="16" t="n">
        <x:v>0.35</x:v>
      </x:c>
      <x:c r="F695" s="15" t="n">
        <x:f>INDEX('Inputs'!$D$4:$D$6,MATCH(A695,'Inputs'!$A$4:$A$6,0))</x:f>
        <x:v>105</x:v>
      </x:c>
      <x:c r="G695" s="15" t="n">
        <x:f>INDEX('Inputs'!$E$4:$E$6,MATCH(A695,'Inputs'!$A$4:$A$6,0))</x:f>
        <x:v>85</x:v>
      </x:c>
      <x:c r="H695" s="15" t="n">
        <x:f>D695*(1-E695)</x:f>
        <x:v>226.85</x:v>
      </x:c>
      <x:c r="I695" s="15" t="n">
        <x:f>F695+G695</x:f>
        <x:v>190</x:v>
      </x:c>
      <x:c r="J695" s="15" t="n">
        <x:f>H695-I695</x:f>
        <x:v>36.849999999999994</x:v>
      </x:c>
      <x:c r="K695" s="16" t="n">
        <x:f>IFERROR(J695/H695,0)</x:f>
        <x:v>0.16244214238483579</x:v>
      </x:c>
      <x:c r="L695" s="14" t="str">
        <x:f>IF(J695&gt;0,"Provisional positive contribution","Not viable")</x:f>
        <x:v>Provisional positive contribution</x:v>
      </x:c>
    </x:row>
    <x:row r="696">
      <x:c r="A696" s="14" t="str">
        <x:v>220gsm Cotton</x:v>
      </x:c>
      <x:c r="B696" s="14" t="n">
        <x:v>50</x:v>
      </x:c>
      <x:c r="C696" s="15" t="n">
        <x:v>749</x:v>
      </x:c>
      <x:c r="D696" s="15" t="n">
        <x:v>399</x:v>
      </x:c>
      <x:c r="E696" s="16" t="n">
        <x:v>0.2</x:v>
      </x:c>
      <x:c r="F696" s="15" t="n">
        <x:f>INDEX('Inputs'!$D$4:$D$6,MATCH(A696,'Inputs'!$A$4:$A$6,0))</x:f>
        <x:v>105</x:v>
      </x:c>
      <x:c r="G696" s="15" t="n">
        <x:f>INDEX('Inputs'!$E$4:$E$6,MATCH(A696,'Inputs'!$A$4:$A$6,0))</x:f>
        <x:v>85</x:v>
      </x:c>
      <x:c r="H696" s="15" t="n">
        <x:f>D696*(1-E696)</x:f>
        <x:v>319.20000000000005</x:v>
      </x:c>
      <x:c r="I696" s="15" t="n">
        <x:f>F696+G696</x:f>
        <x:v>190</x:v>
      </x:c>
      <x:c r="J696" s="15" t="n">
        <x:f>H696-I696</x:f>
        <x:v>129.20000000000005</x:v>
      </x:c>
      <x:c r="K696" s="16" t="n">
        <x:f>IFERROR(J696/H696,0)</x:f>
        <x:v>0.4047619047619048</x:v>
      </x:c>
      <x:c r="L696" s="14" t="str">
        <x:f>IF(J696&gt;0,"Provisional positive contribution","Not viable")</x:f>
        <x:v>Provisional positive contribution</x:v>
      </x:c>
    </x:row>
    <x:row r="697">
      <x:c r="A697" s="14" t="str">
        <x:v>220gsm Cotton</x:v>
      </x:c>
      <x:c r="B697" s="14" t="n">
        <x:v>50</x:v>
      </x:c>
      <x:c r="C697" s="15" t="n">
        <x:v>749</x:v>
      </x:c>
      <x:c r="D697" s="15" t="n">
        <x:v>399</x:v>
      </x:c>
      <x:c r="E697" s="16" t="n">
        <x:v>0.25</x:v>
      </x:c>
      <x:c r="F697" s="15" t="n">
        <x:f>INDEX('Inputs'!$D$4:$D$6,MATCH(A697,'Inputs'!$A$4:$A$6,0))</x:f>
        <x:v>105</x:v>
      </x:c>
      <x:c r="G697" s="15" t="n">
        <x:f>INDEX('Inputs'!$E$4:$E$6,MATCH(A697,'Inputs'!$A$4:$A$6,0))</x:f>
        <x:v>85</x:v>
      </x:c>
      <x:c r="H697" s="15" t="n">
        <x:f>D697*(1-E697)</x:f>
        <x:v>299.25</x:v>
      </x:c>
      <x:c r="I697" s="15" t="n">
        <x:f>F697+G697</x:f>
        <x:v>190</x:v>
      </x:c>
      <x:c r="J697" s="15" t="n">
        <x:f>H697-I697</x:f>
        <x:v>109.25</x:v>
      </x:c>
      <x:c r="K697" s="16" t="n">
        <x:f>IFERROR(J697/H697,0)</x:f>
        <x:v>0.36507936507936506</x:v>
      </x:c>
      <x:c r="L697" s="14" t="str">
        <x:f>IF(J697&gt;0,"Provisional positive contribution","Not viable")</x:f>
        <x:v>Provisional positive contribution</x:v>
      </x:c>
    </x:row>
    <x:row r="698">
      <x:c r="A698" s="14" t="str">
        <x:v>220gsm Cotton</x:v>
      </x:c>
      <x:c r="B698" s="14" t="n">
        <x:v>50</x:v>
      </x:c>
      <x:c r="C698" s="15" t="n">
        <x:v>749</x:v>
      </x:c>
      <x:c r="D698" s="15" t="n">
        <x:v>399</x:v>
      </x:c>
      <x:c r="E698" s="16" t="n">
        <x:v>0.3</x:v>
      </x:c>
      <x:c r="F698" s="15" t="n">
        <x:f>INDEX('Inputs'!$D$4:$D$6,MATCH(A698,'Inputs'!$A$4:$A$6,0))</x:f>
        <x:v>105</x:v>
      </x:c>
      <x:c r="G698" s="15" t="n">
        <x:f>INDEX('Inputs'!$E$4:$E$6,MATCH(A698,'Inputs'!$A$4:$A$6,0))</x:f>
        <x:v>85</x:v>
      </x:c>
      <x:c r="H698" s="15" t="n">
        <x:f>D698*(1-E698)</x:f>
        <x:v>279.29999999999995</x:v>
      </x:c>
      <x:c r="I698" s="15" t="n">
        <x:f>F698+G698</x:f>
        <x:v>190</x:v>
      </x:c>
      <x:c r="J698" s="15" t="n">
        <x:f>H698-I698</x:f>
        <x:v>89.29999999999995</x:v>
      </x:c>
      <x:c r="K698" s="16" t="n">
        <x:f>IFERROR(J698/H698,0)</x:f>
        <x:v>0.3197278911564625</x:v>
      </x:c>
      <x:c r="L698" s="14" t="str">
        <x:f>IF(J698&gt;0,"Provisional positive contribution","Not viable")</x:f>
        <x:v>Provisional positive contribution</x:v>
      </x:c>
    </x:row>
    <x:row r="699">
      <x:c r="A699" s="14" t="str">
        <x:v>220gsm Cotton</x:v>
      </x:c>
      <x:c r="B699" s="14" t="n">
        <x:v>50</x:v>
      </x:c>
      <x:c r="C699" s="15" t="n">
        <x:v>749</x:v>
      </x:c>
      <x:c r="D699" s="15" t="n">
        <x:v>399</x:v>
      </x:c>
      <x:c r="E699" s="16" t="n">
        <x:v>0.35</x:v>
      </x:c>
      <x:c r="F699" s="15" t="n">
        <x:f>INDEX('Inputs'!$D$4:$D$6,MATCH(A699,'Inputs'!$A$4:$A$6,0))</x:f>
        <x:v>105</x:v>
      </x:c>
      <x:c r="G699" s="15" t="n">
        <x:f>INDEX('Inputs'!$E$4:$E$6,MATCH(A699,'Inputs'!$A$4:$A$6,0))</x:f>
        <x:v>85</x:v>
      </x:c>
      <x:c r="H699" s="15" t="n">
        <x:f>D699*(1-E699)</x:f>
        <x:v>259.35</x:v>
      </x:c>
      <x:c r="I699" s="15" t="n">
        <x:f>F699+G699</x:f>
        <x:v>190</x:v>
      </x:c>
      <x:c r="J699" s="15" t="n">
        <x:f>H699-I699</x:f>
        <x:v>69.35000000000002</x:v>
      </x:c>
      <x:c r="K699" s="16" t="n">
        <x:f>IFERROR(J699/H699,0)</x:f>
        <x:v>0.26739926739926745</x:v>
      </x:c>
      <x:c r="L699" s="14" t="str">
        <x:f>IF(J699&gt;0,"Provisional positive contribution","Not viable")</x:f>
        <x:v>Provisional positive contribution</x:v>
      </x:c>
    </x:row>
    <x:row r="700">
      <x:c r="A700" s="14" t="str">
        <x:v>220gsm Cotton</x:v>
      </x:c>
      <x:c r="B700" s="14" t="n">
        <x:v>50</x:v>
      </x:c>
      <x:c r="C700" s="15" t="n">
        <x:v>749</x:v>
      </x:c>
      <x:c r="D700" s="15" t="n">
        <x:v>449</x:v>
      </x:c>
      <x:c r="E700" s="16" t="n">
        <x:v>0.2</x:v>
      </x:c>
      <x:c r="F700" s="15" t="n">
        <x:f>INDEX('Inputs'!$D$4:$D$6,MATCH(A700,'Inputs'!$A$4:$A$6,0))</x:f>
        <x:v>105</x:v>
      </x:c>
      <x:c r="G700" s="15" t="n">
        <x:f>INDEX('Inputs'!$E$4:$E$6,MATCH(A700,'Inputs'!$A$4:$A$6,0))</x:f>
        <x:v>85</x:v>
      </x:c>
      <x:c r="H700" s="15" t="n">
        <x:f>D700*(1-E700)</x:f>
        <x:v>359.20000000000005</x:v>
      </x:c>
      <x:c r="I700" s="15" t="n">
        <x:f>F700+G700</x:f>
        <x:v>190</x:v>
      </x:c>
      <x:c r="J700" s="15" t="n">
        <x:f>H700-I700</x:f>
        <x:v>169.20000000000005</x:v>
      </x:c>
      <x:c r="K700" s="16" t="n">
        <x:f>IFERROR(J700/H700,0)</x:f>
        <x:v>0.4710467706013364</x:v>
      </x:c>
      <x:c r="L700" s="14" t="str">
        <x:f>IF(J700&gt;0,"Provisional positive contribution","Not viable")</x:f>
        <x:v>Provisional positive contribution</x:v>
      </x:c>
    </x:row>
    <x:row r="701">
      <x:c r="A701" s="14" t="str">
        <x:v>220gsm Cotton</x:v>
      </x:c>
      <x:c r="B701" s="14" t="n">
        <x:v>50</x:v>
      </x:c>
      <x:c r="C701" s="15" t="n">
        <x:v>749</x:v>
      </x:c>
      <x:c r="D701" s="15" t="n">
        <x:v>449</x:v>
      </x:c>
      <x:c r="E701" s="16" t="n">
        <x:v>0.25</x:v>
      </x:c>
      <x:c r="F701" s="15" t="n">
        <x:f>INDEX('Inputs'!$D$4:$D$6,MATCH(A701,'Inputs'!$A$4:$A$6,0))</x:f>
        <x:v>105</x:v>
      </x:c>
      <x:c r="G701" s="15" t="n">
        <x:f>INDEX('Inputs'!$E$4:$E$6,MATCH(A701,'Inputs'!$A$4:$A$6,0))</x:f>
        <x:v>85</x:v>
      </x:c>
      <x:c r="H701" s="15" t="n">
        <x:f>D701*(1-E701)</x:f>
        <x:v>336.75</x:v>
      </x:c>
      <x:c r="I701" s="15" t="n">
        <x:f>F701+G701</x:f>
        <x:v>190</x:v>
      </x:c>
      <x:c r="J701" s="15" t="n">
        <x:f>H701-I701</x:f>
        <x:v>146.75</x:v>
      </x:c>
      <x:c r="K701" s="16" t="n">
        <x:f>IFERROR(J701/H701,0)</x:f>
        <x:v>0.4357832219747587</x:v>
      </x:c>
      <x:c r="L701" s="14" t="str">
        <x:f>IF(J701&gt;0,"Provisional positive contribution","Not viable")</x:f>
        <x:v>Provisional positive contribution</x:v>
      </x:c>
    </x:row>
    <x:row r="702">
      <x:c r="A702" s="14" t="str">
        <x:v>220gsm Cotton</x:v>
      </x:c>
      <x:c r="B702" s="14" t="n">
        <x:v>50</x:v>
      </x:c>
      <x:c r="C702" s="15" t="n">
        <x:v>749</x:v>
      </x:c>
      <x:c r="D702" s="15" t="n">
        <x:v>449</x:v>
      </x:c>
      <x:c r="E702" s="16" t="n">
        <x:v>0.3</x:v>
      </x:c>
      <x:c r="F702" s="15" t="n">
        <x:f>INDEX('Inputs'!$D$4:$D$6,MATCH(A702,'Inputs'!$A$4:$A$6,0))</x:f>
        <x:v>105</x:v>
      </x:c>
      <x:c r="G702" s="15" t="n">
        <x:f>INDEX('Inputs'!$E$4:$E$6,MATCH(A702,'Inputs'!$A$4:$A$6,0))</x:f>
        <x:v>85</x:v>
      </x:c>
      <x:c r="H702" s="15" t="n">
        <x:f>D702*(1-E702)</x:f>
        <x:v>314.29999999999995</x:v>
      </x:c>
      <x:c r="I702" s="15" t="n">
        <x:f>F702+G702</x:f>
        <x:v>190</x:v>
      </x:c>
      <x:c r="J702" s="15" t="n">
        <x:f>H702-I702</x:f>
        <x:v>124.29999999999995</x:v>
      </x:c>
      <x:c r="K702" s="16" t="n">
        <x:f>IFERROR(J702/H702,0)</x:f>
        <x:v>0.3954820235443843</x:v>
      </x:c>
      <x:c r="L702" s="14" t="str">
        <x:f>IF(J702&gt;0,"Provisional positive contribution","Not viable")</x:f>
        <x:v>Provisional positive contribution</x:v>
      </x:c>
    </x:row>
    <x:row r="703">
      <x:c r="A703" s="14" t="str">
        <x:v>220gsm Cotton</x:v>
      </x:c>
      <x:c r="B703" s="14" t="n">
        <x:v>50</x:v>
      </x:c>
      <x:c r="C703" s="15" t="n">
        <x:v>749</x:v>
      </x:c>
      <x:c r="D703" s="15" t="n">
        <x:v>449</x:v>
      </x:c>
      <x:c r="E703" s="16" t="n">
        <x:v>0.35</x:v>
      </x:c>
      <x:c r="F703" s="15" t="n">
        <x:f>INDEX('Inputs'!$D$4:$D$6,MATCH(A703,'Inputs'!$A$4:$A$6,0))</x:f>
        <x:v>105</x:v>
      </x:c>
      <x:c r="G703" s="15" t="n">
        <x:f>INDEX('Inputs'!$E$4:$E$6,MATCH(A703,'Inputs'!$A$4:$A$6,0))</x:f>
        <x:v>85</x:v>
      </x:c>
      <x:c r="H703" s="15" t="n">
        <x:f>D703*(1-E703)</x:f>
        <x:v>291.85</x:v>
      </x:c>
      <x:c r="I703" s="15" t="n">
        <x:f>F703+G703</x:f>
        <x:v>190</x:v>
      </x:c>
      <x:c r="J703" s="15" t="n">
        <x:f>H703-I703</x:f>
        <x:v>101.85000000000002</x:v>
      </x:c>
      <x:c r="K703" s="16" t="n">
        <x:f>IFERROR(J703/H703,0)</x:f>
        <x:v>0.34898064074010626</x:v>
      </x:c>
      <x:c r="L703" s="14" t="str">
        <x:f>IF(J703&gt;0,"Provisional positive contribution","Not viable")</x:f>
        <x:v>Provisional positive contribution</x:v>
      </x:c>
    </x:row>
    <x:row r="704">
      <x:c r="A704" s="14" t="str">
        <x:v>220gsm Cotton</x:v>
      </x:c>
      <x:c r="B704" s="14" t="n">
        <x:v>50</x:v>
      </x:c>
      <x:c r="C704" s="15" t="n">
        <x:v>749</x:v>
      </x:c>
      <x:c r="D704" s="15" t="n">
        <x:v>499</x:v>
      </x:c>
      <x:c r="E704" s="16" t="n">
        <x:v>0.2</x:v>
      </x:c>
      <x:c r="F704" s="15" t="n">
        <x:f>INDEX('Inputs'!$D$4:$D$6,MATCH(A704,'Inputs'!$A$4:$A$6,0))</x:f>
        <x:v>105</x:v>
      </x:c>
      <x:c r="G704" s="15" t="n">
        <x:f>INDEX('Inputs'!$E$4:$E$6,MATCH(A704,'Inputs'!$A$4:$A$6,0))</x:f>
        <x:v>85</x:v>
      </x:c>
      <x:c r="H704" s="15" t="n">
        <x:f>D704*(1-E704)</x:f>
        <x:v>399.20000000000005</x:v>
      </x:c>
      <x:c r="I704" s="15" t="n">
        <x:f>F704+G704</x:f>
        <x:v>190</x:v>
      </x:c>
      <x:c r="J704" s="15" t="n">
        <x:f>H704-I704</x:f>
        <x:v>209.20000000000005</x:v>
      </x:c>
      <x:c r="K704" s="16" t="n">
        <x:f>IFERROR(J704/H704,0)</x:f>
        <x:v>0.5240480961923848</x:v>
      </x:c>
      <x:c r="L704" s="14" t="str">
        <x:f>IF(J704&gt;0,"Provisional positive contribution","Not viable")</x:f>
        <x:v>Provisional positive contribution</x:v>
      </x:c>
    </x:row>
    <x:row r="705">
      <x:c r="A705" s="14" t="str">
        <x:v>220gsm Cotton</x:v>
      </x:c>
      <x:c r="B705" s="14" t="n">
        <x:v>50</x:v>
      </x:c>
      <x:c r="C705" s="15" t="n">
        <x:v>749</x:v>
      </x:c>
      <x:c r="D705" s="15" t="n">
        <x:v>499</x:v>
      </x:c>
      <x:c r="E705" s="16" t="n">
        <x:v>0.25</x:v>
      </x:c>
      <x:c r="F705" s="15" t="n">
        <x:f>INDEX('Inputs'!$D$4:$D$6,MATCH(A705,'Inputs'!$A$4:$A$6,0))</x:f>
        <x:v>105</x:v>
      </x:c>
      <x:c r="G705" s="15" t="n">
        <x:f>INDEX('Inputs'!$E$4:$E$6,MATCH(A705,'Inputs'!$A$4:$A$6,0))</x:f>
        <x:v>85</x:v>
      </x:c>
      <x:c r="H705" s="15" t="n">
        <x:f>D705*(1-E705)</x:f>
        <x:v>374.25</x:v>
      </x:c>
      <x:c r="I705" s="15" t="n">
        <x:f>F705+G705</x:f>
        <x:v>190</x:v>
      </x:c>
      <x:c r="J705" s="15" t="n">
        <x:f>H705-I705</x:f>
        <x:v>184.25</x:v>
      </x:c>
      <x:c r="K705" s="16" t="n">
        <x:f>IFERROR(J705/H705,0)</x:f>
        <x:v>0.4923179692718771</x:v>
      </x:c>
      <x:c r="L705" s="14" t="str">
        <x:f>IF(J705&gt;0,"Provisional positive contribution","Not viable")</x:f>
        <x:v>Provisional positive contribution</x:v>
      </x:c>
    </x:row>
    <x:row r="706">
      <x:c r="A706" s="14" t="str">
        <x:v>220gsm Cotton</x:v>
      </x:c>
      <x:c r="B706" s="14" t="n">
        <x:v>50</x:v>
      </x:c>
      <x:c r="C706" s="15" t="n">
        <x:v>749</x:v>
      </x:c>
      <x:c r="D706" s="15" t="n">
        <x:v>499</x:v>
      </x:c>
      <x:c r="E706" s="16" t="n">
        <x:v>0.3</x:v>
      </x:c>
      <x:c r="F706" s="15" t="n">
        <x:f>INDEX('Inputs'!$D$4:$D$6,MATCH(A706,'Inputs'!$A$4:$A$6,0))</x:f>
        <x:v>105</x:v>
      </x:c>
      <x:c r="G706" s="15" t="n">
        <x:f>INDEX('Inputs'!$E$4:$E$6,MATCH(A706,'Inputs'!$A$4:$A$6,0))</x:f>
        <x:v>85</x:v>
      </x:c>
      <x:c r="H706" s="15" t="n">
        <x:f>D706*(1-E706)</x:f>
        <x:v>349.29999999999995</x:v>
      </x:c>
      <x:c r="I706" s="15" t="n">
        <x:f>F706+G706</x:f>
        <x:v>190</x:v>
      </x:c>
      <x:c r="J706" s="15" t="n">
        <x:f>H706-I706</x:f>
        <x:v>159.29999999999995</x:v>
      </x:c>
      <x:c r="K706" s="16" t="n">
        <x:f>IFERROR(J706/H706,0)</x:f>
        <x:v>0.4560549670770111</x:v>
      </x:c>
      <x:c r="L706" s="14" t="str">
        <x:f>IF(J706&gt;0,"Provisional positive contribution","Not viable")</x:f>
        <x:v>Provisional positive contribution</x:v>
      </x:c>
    </x:row>
    <x:row r="707">
      <x:c r="A707" s="14" t="str">
        <x:v>220gsm Cotton</x:v>
      </x:c>
      <x:c r="B707" s="14" t="n">
        <x:v>50</x:v>
      </x:c>
      <x:c r="C707" s="15" t="n">
        <x:v>749</x:v>
      </x:c>
      <x:c r="D707" s="15" t="n">
        <x:v>499</x:v>
      </x:c>
      <x:c r="E707" s="16" t="n">
        <x:v>0.35</x:v>
      </x:c>
      <x:c r="F707" s="15" t="n">
        <x:f>INDEX('Inputs'!$D$4:$D$6,MATCH(A707,'Inputs'!$A$4:$A$6,0))</x:f>
        <x:v>105</x:v>
      </x:c>
      <x:c r="G707" s="15" t="n">
        <x:f>INDEX('Inputs'!$E$4:$E$6,MATCH(A707,'Inputs'!$A$4:$A$6,0))</x:f>
        <x:v>85</x:v>
      </x:c>
      <x:c r="H707" s="15" t="n">
        <x:f>D707*(1-E707)</x:f>
        <x:v>324.35</x:v>
      </x:c>
      <x:c r="I707" s="15" t="n">
        <x:f>F707+G707</x:f>
        <x:v>190</x:v>
      </x:c>
      <x:c r="J707" s="15" t="n">
        <x:f>H707-I707</x:f>
        <x:v>134.35000000000002</x:v>
      </x:c>
      <x:c r="K707" s="16" t="n">
        <x:f>IFERROR(J707/H707,0)</x:f>
        <x:v>0.4142130414675505</x:v>
      </x:c>
      <x:c r="L707" s="14" t="str">
        <x:f>IF(J707&gt;0,"Provisional positive contribution","Not viable")</x:f>
        <x:v>Provisional positive contribution</x:v>
      </x:c>
    </x:row>
    <x:row r="708">
      <x:c r="A708" s="14" t="str">
        <x:v>220gsm Cotton</x:v>
      </x:c>
      <x:c r="B708" s="14" t="n">
        <x:v>100</x:v>
      </x:c>
      <x:c r="C708" s="15" t="n">
        <x:v>599</x:v>
      </x:c>
      <x:c r="D708" s="15" t="n">
        <x:v>349</x:v>
      </x:c>
      <x:c r="E708" s="16" t="n">
        <x:v>0.2</x:v>
      </x:c>
      <x:c r="F708" s="15" t="n">
        <x:f>INDEX('Inputs'!$D$4:$D$6,MATCH(A708,'Inputs'!$A$4:$A$6,0))</x:f>
        <x:v>105</x:v>
      </x:c>
      <x:c r="G708" s="15" t="n">
        <x:f>INDEX('Inputs'!$E$4:$E$6,MATCH(A708,'Inputs'!$A$4:$A$6,0))</x:f>
        <x:v>85</x:v>
      </x:c>
      <x:c r="H708" s="15" t="n">
        <x:f>D708*(1-E708)</x:f>
        <x:v>279.2</x:v>
      </x:c>
      <x:c r="I708" s="15" t="n">
        <x:f>F708+G708</x:f>
        <x:v>190</x:v>
      </x:c>
      <x:c r="J708" s="15" t="n">
        <x:f>H708-I708</x:f>
        <x:v>89.19999999999999</x:v>
      </x:c>
      <x:c r="K708" s="16" t="n">
        <x:f>IFERROR(J708/H708,0)</x:f>
        <x:v>0.31948424068767906</x:v>
      </x:c>
      <x:c r="L708" s="14" t="str">
        <x:f>IF(J708&gt;0,"Provisional positive contribution","Not viable")</x:f>
        <x:v>Provisional positive contribution</x:v>
      </x:c>
    </x:row>
    <x:row r="709">
      <x:c r="A709" s="14" t="str">
        <x:v>220gsm Cotton</x:v>
      </x:c>
      <x:c r="B709" s="14" t="n">
        <x:v>100</x:v>
      </x:c>
      <x:c r="C709" s="15" t="n">
        <x:v>599</x:v>
      </x:c>
      <x:c r="D709" s="15" t="n">
        <x:v>349</x:v>
      </x:c>
      <x:c r="E709" s="16" t="n">
        <x:v>0.25</x:v>
      </x:c>
      <x:c r="F709" s="15" t="n">
        <x:f>INDEX('Inputs'!$D$4:$D$6,MATCH(A709,'Inputs'!$A$4:$A$6,0))</x:f>
        <x:v>105</x:v>
      </x:c>
      <x:c r="G709" s="15" t="n">
        <x:f>INDEX('Inputs'!$E$4:$E$6,MATCH(A709,'Inputs'!$A$4:$A$6,0))</x:f>
        <x:v>85</x:v>
      </x:c>
      <x:c r="H709" s="15" t="n">
        <x:f>D709*(1-E709)</x:f>
        <x:v>261.75</x:v>
      </x:c>
      <x:c r="I709" s="15" t="n">
        <x:f>F709+G709</x:f>
        <x:v>190</x:v>
      </x:c>
      <x:c r="J709" s="15" t="n">
        <x:f>H709-I709</x:f>
        <x:v>71.75</x:v>
      </x:c>
      <x:c r="K709" s="16" t="n">
        <x:f>IFERROR(J709/H709,0)</x:f>
        <x:v>0.27411652340019105</x:v>
      </x:c>
      <x:c r="L709" s="14" t="str">
        <x:f>IF(J709&gt;0,"Provisional positive contribution","Not viable")</x:f>
        <x:v>Provisional positive contribution</x:v>
      </x:c>
    </x:row>
    <x:row r="710">
      <x:c r="A710" s="14" t="str">
        <x:v>220gsm Cotton</x:v>
      </x:c>
      <x:c r="B710" s="14" t="n">
        <x:v>100</x:v>
      </x:c>
      <x:c r="C710" s="15" t="n">
        <x:v>599</x:v>
      </x:c>
      <x:c r="D710" s="15" t="n">
        <x:v>349</x:v>
      </x:c>
      <x:c r="E710" s="16" t="n">
        <x:v>0.3</x:v>
      </x:c>
      <x:c r="F710" s="15" t="n">
        <x:f>INDEX('Inputs'!$D$4:$D$6,MATCH(A710,'Inputs'!$A$4:$A$6,0))</x:f>
        <x:v>105</x:v>
      </x:c>
      <x:c r="G710" s="15" t="n">
        <x:f>INDEX('Inputs'!$E$4:$E$6,MATCH(A710,'Inputs'!$A$4:$A$6,0))</x:f>
        <x:v>85</x:v>
      </x:c>
      <x:c r="H710" s="15" t="n">
        <x:f>D710*(1-E710)</x:f>
        <x:v>244.29999999999998</x:v>
      </x:c>
      <x:c r="I710" s="15" t="n">
        <x:f>F710+G710</x:f>
        <x:v>190</x:v>
      </x:c>
      <x:c r="J710" s="15" t="n">
        <x:f>H710-I710</x:f>
        <x:v>54.29999999999998</x:v>
      </x:c>
      <x:c r="K710" s="16" t="n">
        <x:f>IFERROR(J710/H710,0)</x:f>
        <x:v>0.22226770364306175</x:v>
      </x:c>
      <x:c r="L710" s="14" t="str">
        <x:f>IF(J710&gt;0,"Provisional positive contribution","Not viable")</x:f>
        <x:v>Provisional positive contribution</x:v>
      </x:c>
    </x:row>
    <x:row r="711">
      <x:c r="A711" s="14" t="str">
        <x:v>220gsm Cotton</x:v>
      </x:c>
      <x:c r="B711" s="14" t="n">
        <x:v>100</x:v>
      </x:c>
      <x:c r="C711" s="15" t="n">
        <x:v>599</x:v>
      </x:c>
      <x:c r="D711" s="15" t="n">
        <x:v>349</x:v>
      </x:c>
      <x:c r="E711" s="16" t="n">
        <x:v>0.35</x:v>
      </x:c>
      <x:c r="F711" s="15" t="n">
        <x:f>INDEX('Inputs'!$D$4:$D$6,MATCH(A711,'Inputs'!$A$4:$A$6,0))</x:f>
        <x:v>105</x:v>
      </x:c>
      <x:c r="G711" s="15" t="n">
        <x:f>INDEX('Inputs'!$E$4:$E$6,MATCH(A711,'Inputs'!$A$4:$A$6,0))</x:f>
        <x:v>85</x:v>
      </x:c>
      <x:c r="H711" s="15" t="n">
        <x:f>D711*(1-E711)</x:f>
        <x:v>226.85</x:v>
      </x:c>
      <x:c r="I711" s="15" t="n">
        <x:f>F711+G711</x:f>
        <x:v>190</x:v>
      </x:c>
      <x:c r="J711" s="15" t="n">
        <x:f>H711-I711</x:f>
        <x:v>36.849999999999994</x:v>
      </x:c>
      <x:c r="K711" s="16" t="n">
        <x:f>IFERROR(J711/H711,0)</x:f>
        <x:v>0.16244214238483579</x:v>
      </x:c>
      <x:c r="L711" s="14" t="str">
        <x:f>IF(J711&gt;0,"Provisional positive contribution","Not viable")</x:f>
        <x:v>Provisional positive contribution</x:v>
      </x:c>
    </x:row>
    <x:row r="712">
      <x:c r="A712" s="14" t="str">
        <x:v>220gsm Cotton</x:v>
      </x:c>
      <x:c r="B712" s="14" t="n">
        <x:v>100</x:v>
      </x:c>
      <x:c r="C712" s="15" t="n">
        <x:v>599</x:v>
      </x:c>
      <x:c r="D712" s="15" t="n">
        <x:v>399</x:v>
      </x:c>
      <x:c r="E712" s="16" t="n">
        <x:v>0.2</x:v>
      </x:c>
      <x:c r="F712" s="15" t="n">
        <x:f>INDEX('Inputs'!$D$4:$D$6,MATCH(A712,'Inputs'!$A$4:$A$6,0))</x:f>
        <x:v>105</x:v>
      </x:c>
      <x:c r="G712" s="15" t="n">
        <x:f>INDEX('Inputs'!$E$4:$E$6,MATCH(A712,'Inputs'!$A$4:$A$6,0))</x:f>
        <x:v>85</x:v>
      </x:c>
      <x:c r="H712" s="15" t="n">
        <x:f>D712*(1-E712)</x:f>
        <x:v>319.20000000000005</x:v>
      </x:c>
      <x:c r="I712" s="15" t="n">
        <x:f>F712+G712</x:f>
        <x:v>190</x:v>
      </x:c>
      <x:c r="J712" s="15" t="n">
        <x:f>H712-I712</x:f>
        <x:v>129.20000000000005</x:v>
      </x:c>
      <x:c r="K712" s="16" t="n">
        <x:f>IFERROR(J712/H712,0)</x:f>
        <x:v>0.4047619047619048</x:v>
      </x:c>
      <x:c r="L712" s="14" t="str">
        <x:f>IF(J712&gt;0,"Provisional positive contribution","Not viable")</x:f>
        <x:v>Provisional positive contribution</x:v>
      </x:c>
    </x:row>
    <x:row r="713">
      <x:c r="A713" s="14" t="str">
        <x:v>220gsm Cotton</x:v>
      </x:c>
      <x:c r="B713" s="14" t="n">
        <x:v>100</x:v>
      </x:c>
      <x:c r="C713" s="15" t="n">
        <x:v>599</x:v>
      </x:c>
      <x:c r="D713" s="15" t="n">
        <x:v>399</x:v>
      </x:c>
      <x:c r="E713" s="16" t="n">
        <x:v>0.25</x:v>
      </x:c>
      <x:c r="F713" s="15" t="n">
        <x:f>INDEX('Inputs'!$D$4:$D$6,MATCH(A713,'Inputs'!$A$4:$A$6,0))</x:f>
        <x:v>105</x:v>
      </x:c>
      <x:c r="G713" s="15" t="n">
        <x:f>INDEX('Inputs'!$E$4:$E$6,MATCH(A713,'Inputs'!$A$4:$A$6,0))</x:f>
        <x:v>85</x:v>
      </x:c>
      <x:c r="H713" s="15" t="n">
        <x:f>D713*(1-E713)</x:f>
        <x:v>299.25</x:v>
      </x:c>
      <x:c r="I713" s="15" t="n">
        <x:f>F713+G713</x:f>
        <x:v>190</x:v>
      </x:c>
      <x:c r="J713" s="15" t="n">
        <x:f>H713-I713</x:f>
        <x:v>109.25</x:v>
      </x:c>
      <x:c r="K713" s="16" t="n">
        <x:f>IFERROR(J713/H713,0)</x:f>
        <x:v>0.36507936507936506</x:v>
      </x:c>
      <x:c r="L713" s="14" t="str">
        <x:f>IF(J713&gt;0,"Provisional positive contribution","Not viable")</x:f>
        <x:v>Provisional positive contribution</x:v>
      </x:c>
    </x:row>
    <x:row r="714">
      <x:c r="A714" s="14" t="str">
        <x:v>220gsm Cotton</x:v>
      </x:c>
      <x:c r="B714" s="14" t="n">
        <x:v>100</x:v>
      </x:c>
      <x:c r="C714" s="15" t="n">
        <x:v>599</x:v>
      </x:c>
      <x:c r="D714" s="15" t="n">
        <x:v>399</x:v>
      </x:c>
      <x:c r="E714" s="16" t="n">
        <x:v>0.3</x:v>
      </x:c>
      <x:c r="F714" s="15" t="n">
        <x:f>INDEX('Inputs'!$D$4:$D$6,MATCH(A714,'Inputs'!$A$4:$A$6,0))</x:f>
        <x:v>105</x:v>
      </x:c>
      <x:c r="G714" s="15" t="n">
        <x:f>INDEX('Inputs'!$E$4:$E$6,MATCH(A714,'Inputs'!$A$4:$A$6,0))</x:f>
        <x:v>85</x:v>
      </x:c>
      <x:c r="H714" s="15" t="n">
        <x:f>D714*(1-E714)</x:f>
        <x:v>279.29999999999995</x:v>
      </x:c>
      <x:c r="I714" s="15" t="n">
        <x:f>F714+G714</x:f>
        <x:v>190</x:v>
      </x:c>
      <x:c r="J714" s="15" t="n">
        <x:f>H714-I714</x:f>
        <x:v>89.29999999999995</x:v>
      </x:c>
      <x:c r="K714" s="16" t="n">
        <x:f>IFERROR(J714/H714,0)</x:f>
        <x:v>0.3197278911564625</x:v>
      </x:c>
      <x:c r="L714" s="14" t="str">
        <x:f>IF(J714&gt;0,"Provisional positive contribution","Not viable")</x:f>
        <x:v>Provisional positive contribution</x:v>
      </x:c>
    </x:row>
    <x:row r="715">
      <x:c r="A715" s="14" t="str">
        <x:v>220gsm Cotton</x:v>
      </x:c>
      <x:c r="B715" s="14" t="n">
        <x:v>100</x:v>
      </x:c>
      <x:c r="C715" s="15" t="n">
        <x:v>599</x:v>
      </x:c>
      <x:c r="D715" s="15" t="n">
        <x:v>399</x:v>
      </x:c>
      <x:c r="E715" s="16" t="n">
        <x:v>0.35</x:v>
      </x:c>
      <x:c r="F715" s="15" t="n">
        <x:f>INDEX('Inputs'!$D$4:$D$6,MATCH(A715,'Inputs'!$A$4:$A$6,0))</x:f>
        <x:v>105</x:v>
      </x:c>
      <x:c r="G715" s="15" t="n">
        <x:f>INDEX('Inputs'!$E$4:$E$6,MATCH(A715,'Inputs'!$A$4:$A$6,0))</x:f>
        <x:v>85</x:v>
      </x:c>
      <x:c r="H715" s="15" t="n">
        <x:f>D715*(1-E715)</x:f>
        <x:v>259.35</x:v>
      </x:c>
      <x:c r="I715" s="15" t="n">
        <x:f>F715+G715</x:f>
        <x:v>190</x:v>
      </x:c>
      <x:c r="J715" s="15" t="n">
        <x:f>H715-I715</x:f>
        <x:v>69.35000000000002</x:v>
      </x:c>
      <x:c r="K715" s="16" t="n">
        <x:f>IFERROR(J715/H715,0)</x:f>
        <x:v>0.26739926739926745</x:v>
      </x:c>
      <x:c r="L715" s="14" t="str">
        <x:f>IF(J715&gt;0,"Provisional positive contribution","Not viable")</x:f>
        <x:v>Provisional positive contribution</x:v>
      </x:c>
    </x:row>
    <x:row r="716">
      <x:c r="A716" s="14" t="str">
        <x:v>220gsm Cotton</x:v>
      </x:c>
      <x:c r="B716" s="14" t="n">
        <x:v>100</x:v>
      </x:c>
      <x:c r="C716" s="15" t="n">
        <x:v>599</x:v>
      </x:c>
      <x:c r="D716" s="15" t="n">
        <x:v>449</x:v>
      </x:c>
      <x:c r="E716" s="16" t="n">
        <x:v>0.2</x:v>
      </x:c>
      <x:c r="F716" s="15" t="n">
        <x:f>INDEX('Inputs'!$D$4:$D$6,MATCH(A716,'Inputs'!$A$4:$A$6,0))</x:f>
        <x:v>105</x:v>
      </x:c>
      <x:c r="G716" s="15" t="n">
        <x:f>INDEX('Inputs'!$E$4:$E$6,MATCH(A716,'Inputs'!$A$4:$A$6,0))</x:f>
        <x:v>85</x:v>
      </x:c>
      <x:c r="H716" s="15" t="n">
        <x:f>D716*(1-E716)</x:f>
        <x:v>359.20000000000005</x:v>
      </x:c>
      <x:c r="I716" s="15" t="n">
        <x:f>F716+G716</x:f>
        <x:v>190</x:v>
      </x:c>
      <x:c r="J716" s="15" t="n">
        <x:f>H716-I716</x:f>
        <x:v>169.20000000000005</x:v>
      </x:c>
      <x:c r="K716" s="16" t="n">
        <x:f>IFERROR(J716/H716,0)</x:f>
        <x:v>0.4710467706013364</x:v>
      </x:c>
      <x:c r="L716" s="14" t="str">
        <x:f>IF(J716&gt;0,"Provisional positive contribution","Not viable")</x:f>
        <x:v>Provisional positive contribution</x:v>
      </x:c>
    </x:row>
    <x:row r="717">
      <x:c r="A717" s="14" t="str">
        <x:v>220gsm Cotton</x:v>
      </x:c>
      <x:c r="B717" s="14" t="n">
        <x:v>100</x:v>
      </x:c>
      <x:c r="C717" s="15" t="n">
        <x:v>599</x:v>
      </x:c>
      <x:c r="D717" s="15" t="n">
        <x:v>449</x:v>
      </x:c>
      <x:c r="E717" s="16" t="n">
        <x:v>0.25</x:v>
      </x:c>
      <x:c r="F717" s="15" t="n">
        <x:f>INDEX('Inputs'!$D$4:$D$6,MATCH(A717,'Inputs'!$A$4:$A$6,0))</x:f>
        <x:v>105</x:v>
      </x:c>
      <x:c r="G717" s="15" t="n">
        <x:f>INDEX('Inputs'!$E$4:$E$6,MATCH(A717,'Inputs'!$A$4:$A$6,0))</x:f>
        <x:v>85</x:v>
      </x:c>
      <x:c r="H717" s="15" t="n">
        <x:f>D717*(1-E717)</x:f>
        <x:v>336.75</x:v>
      </x:c>
      <x:c r="I717" s="15" t="n">
        <x:f>F717+G717</x:f>
        <x:v>190</x:v>
      </x:c>
      <x:c r="J717" s="15" t="n">
        <x:f>H717-I717</x:f>
        <x:v>146.75</x:v>
      </x:c>
      <x:c r="K717" s="16" t="n">
        <x:f>IFERROR(J717/H717,0)</x:f>
        <x:v>0.4357832219747587</x:v>
      </x:c>
      <x:c r="L717" s="14" t="str">
        <x:f>IF(J717&gt;0,"Provisional positive contribution","Not viable")</x:f>
        <x:v>Provisional positive contribution</x:v>
      </x:c>
    </x:row>
    <x:row r="718">
      <x:c r="A718" s="14" t="str">
        <x:v>220gsm Cotton</x:v>
      </x:c>
      <x:c r="B718" s="14" t="n">
        <x:v>100</x:v>
      </x:c>
      <x:c r="C718" s="15" t="n">
        <x:v>599</x:v>
      </x:c>
      <x:c r="D718" s="15" t="n">
        <x:v>449</x:v>
      </x:c>
      <x:c r="E718" s="16" t="n">
        <x:v>0.3</x:v>
      </x:c>
      <x:c r="F718" s="15" t="n">
        <x:f>INDEX('Inputs'!$D$4:$D$6,MATCH(A718,'Inputs'!$A$4:$A$6,0))</x:f>
        <x:v>105</x:v>
      </x:c>
      <x:c r="G718" s="15" t="n">
        <x:f>INDEX('Inputs'!$E$4:$E$6,MATCH(A718,'Inputs'!$A$4:$A$6,0))</x:f>
        <x:v>85</x:v>
      </x:c>
      <x:c r="H718" s="15" t="n">
        <x:f>D718*(1-E718)</x:f>
        <x:v>314.29999999999995</x:v>
      </x:c>
      <x:c r="I718" s="15" t="n">
        <x:f>F718+G718</x:f>
        <x:v>190</x:v>
      </x:c>
      <x:c r="J718" s="15" t="n">
        <x:f>H718-I718</x:f>
        <x:v>124.29999999999995</x:v>
      </x:c>
      <x:c r="K718" s="16" t="n">
        <x:f>IFERROR(J718/H718,0)</x:f>
        <x:v>0.3954820235443843</x:v>
      </x:c>
      <x:c r="L718" s="14" t="str">
        <x:f>IF(J718&gt;0,"Provisional positive contribution","Not viable")</x:f>
        <x:v>Provisional positive contribution</x:v>
      </x:c>
    </x:row>
    <x:row r="719">
      <x:c r="A719" s="14" t="str">
        <x:v>220gsm Cotton</x:v>
      </x:c>
      <x:c r="B719" s="14" t="n">
        <x:v>100</x:v>
      </x:c>
      <x:c r="C719" s="15" t="n">
        <x:v>599</x:v>
      </x:c>
      <x:c r="D719" s="15" t="n">
        <x:v>449</x:v>
      </x:c>
      <x:c r="E719" s="16" t="n">
        <x:v>0.35</x:v>
      </x:c>
      <x:c r="F719" s="15" t="n">
        <x:f>INDEX('Inputs'!$D$4:$D$6,MATCH(A719,'Inputs'!$A$4:$A$6,0))</x:f>
        <x:v>105</x:v>
      </x:c>
      <x:c r="G719" s="15" t="n">
        <x:f>INDEX('Inputs'!$E$4:$E$6,MATCH(A719,'Inputs'!$A$4:$A$6,0))</x:f>
        <x:v>85</x:v>
      </x:c>
      <x:c r="H719" s="15" t="n">
        <x:f>D719*(1-E719)</x:f>
        <x:v>291.85</x:v>
      </x:c>
      <x:c r="I719" s="15" t="n">
        <x:f>F719+G719</x:f>
        <x:v>190</x:v>
      </x:c>
      <x:c r="J719" s="15" t="n">
        <x:f>H719-I719</x:f>
        <x:v>101.85000000000002</x:v>
      </x:c>
      <x:c r="K719" s="16" t="n">
        <x:f>IFERROR(J719/H719,0)</x:f>
        <x:v>0.34898064074010626</x:v>
      </x:c>
      <x:c r="L719" s="14" t="str">
        <x:f>IF(J719&gt;0,"Provisional positive contribution","Not viable")</x:f>
        <x:v>Provisional positive contribution</x:v>
      </x:c>
    </x:row>
    <x:row r="720">
      <x:c r="A720" s="14" t="str">
        <x:v>220gsm Cotton</x:v>
      </x:c>
      <x:c r="B720" s="14" t="n">
        <x:v>100</x:v>
      </x:c>
      <x:c r="C720" s="15" t="n">
        <x:v>599</x:v>
      </x:c>
      <x:c r="D720" s="15" t="n">
        <x:v>499</x:v>
      </x:c>
      <x:c r="E720" s="16" t="n">
        <x:v>0.2</x:v>
      </x:c>
      <x:c r="F720" s="15" t="n">
        <x:f>INDEX('Inputs'!$D$4:$D$6,MATCH(A720,'Inputs'!$A$4:$A$6,0))</x:f>
        <x:v>105</x:v>
      </x:c>
      <x:c r="G720" s="15" t="n">
        <x:f>INDEX('Inputs'!$E$4:$E$6,MATCH(A720,'Inputs'!$A$4:$A$6,0))</x:f>
        <x:v>85</x:v>
      </x:c>
      <x:c r="H720" s="15" t="n">
        <x:f>D720*(1-E720)</x:f>
        <x:v>399.20000000000005</x:v>
      </x:c>
      <x:c r="I720" s="15" t="n">
        <x:f>F720+G720</x:f>
        <x:v>190</x:v>
      </x:c>
      <x:c r="J720" s="15" t="n">
        <x:f>H720-I720</x:f>
        <x:v>209.20000000000005</x:v>
      </x:c>
      <x:c r="K720" s="16" t="n">
        <x:f>IFERROR(J720/H720,0)</x:f>
        <x:v>0.5240480961923848</x:v>
      </x:c>
      <x:c r="L720" s="14" t="str">
        <x:f>IF(J720&gt;0,"Provisional positive contribution","Not viable")</x:f>
        <x:v>Provisional positive contribution</x:v>
      </x:c>
    </x:row>
    <x:row r="721">
      <x:c r="A721" s="14" t="str">
        <x:v>220gsm Cotton</x:v>
      </x:c>
      <x:c r="B721" s="14" t="n">
        <x:v>100</x:v>
      </x:c>
      <x:c r="C721" s="15" t="n">
        <x:v>599</x:v>
      </x:c>
      <x:c r="D721" s="15" t="n">
        <x:v>499</x:v>
      </x:c>
      <x:c r="E721" s="16" t="n">
        <x:v>0.25</x:v>
      </x:c>
      <x:c r="F721" s="15" t="n">
        <x:f>INDEX('Inputs'!$D$4:$D$6,MATCH(A721,'Inputs'!$A$4:$A$6,0))</x:f>
        <x:v>105</x:v>
      </x:c>
      <x:c r="G721" s="15" t="n">
        <x:f>INDEX('Inputs'!$E$4:$E$6,MATCH(A721,'Inputs'!$A$4:$A$6,0))</x:f>
        <x:v>85</x:v>
      </x:c>
      <x:c r="H721" s="15" t="n">
        <x:f>D721*(1-E721)</x:f>
        <x:v>374.25</x:v>
      </x:c>
      <x:c r="I721" s="15" t="n">
        <x:f>F721+G721</x:f>
        <x:v>190</x:v>
      </x:c>
      <x:c r="J721" s="15" t="n">
        <x:f>H721-I721</x:f>
        <x:v>184.25</x:v>
      </x:c>
      <x:c r="K721" s="16" t="n">
        <x:f>IFERROR(J721/H721,0)</x:f>
        <x:v>0.4923179692718771</x:v>
      </x:c>
      <x:c r="L721" s="14" t="str">
        <x:f>IF(J721&gt;0,"Provisional positive contribution","Not viable")</x:f>
        <x:v>Provisional positive contribution</x:v>
      </x:c>
    </x:row>
    <x:row r="722">
      <x:c r="A722" s="14" t="str">
        <x:v>220gsm Cotton</x:v>
      </x:c>
      <x:c r="B722" s="14" t="n">
        <x:v>100</x:v>
      </x:c>
      <x:c r="C722" s="15" t="n">
        <x:v>599</x:v>
      </x:c>
      <x:c r="D722" s="15" t="n">
        <x:v>499</x:v>
      </x:c>
      <x:c r="E722" s="16" t="n">
        <x:v>0.3</x:v>
      </x:c>
      <x:c r="F722" s="15" t="n">
        <x:f>INDEX('Inputs'!$D$4:$D$6,MATCH(A722,'Inputs'!$A$4:$A$6,0))</x:f>
        <x:v>105</x:v>
      </x:c>
      <x:c r="G722" s="15" t="n">
        <x:f>INDEX('Inputs'!$E$4:$E$6,MATCH(A722,'Inputs'!$A$4:$A$6,0))</x:f>
        <x:v>85</x:v>
      </x:c>
      <x:c r="H722" s="15" t="n">
        <x:f>D722*(1-E722)</x:f>
        <x:v>349.29999999999995</x:v>
      </x:c>
      <x:c r="I722" s="15" t="n">
        <x:f>F722+G722</x:f>
        <x:v>190</x:v>
      </x:c>
      <x:c r="J722" s="15" t="n">
        <x:f>H722-I722</x:f>
        <x:v>159.29999999999995</x:v>
      </x:c>
      <x:c r="K722" s="16" t="n">
        <x:f>IFERROR(J722/H722,0)</x:f>
        <x:v>0.4560549670770111</x:v>
      </x:c>
      <x:c r="L722" s="14" t="str">
        <x:f>IF(J722&gt;0,"Provisional positive contribution","Not viable")</x:f>
        <x:v>Provisional positive contribution</x:v>
      </x:c>
    </x:row>
    <x:row r="723">
      <x:c r="A723" s="14" t="str">
        <x:v>220gsm Cotton</x:v>
      </x:c>
      <x:c r="B723" s="14" t="n">
        <x:v>100</x:v>
      </x:c>
      <x:c r="C723" s="15" t="n">
        <x:v>599</x:v>
      </x:c>
      <x:c r="D723" s="15" t="n">
        <x:v>499</x:v>
      </x:c>
      <x:c r="E723" s="16" t="n">
        <x:v>0.35</x:v>
      </x:c>
      <x:c r="F723" s="15" t="n">
        <x:f>INDEX('Inputs'!$D$4:$D$6,MATCH(A723,'Inputs'!$A$4:$A$6,0))</x:f>
        <x:v>105</x:v>
      </x:c>
      <x:c r="G723" s="15" t="n">
        <x:f>INDEX('Inputs'!$E$4:$E$6,MATCH(A723,'Inputs'!$A$4:$A$6,0))</x:f>
        <x:v>85</x:v>
      </x:c>
      <x:c r="H723" s="15" t="n">
        <x:f>D723*(1-E723)</x:f>
        <x:v>324.35</x:v>
      </x:c>
      <x:c r="I723" s="15" t="n">
        <x:f>F723+G723</x:f>
        <x:v>190</x:v>
      </x:c>
      <x:c r="J723" s="15" t="n">
        <x:f>H723-I723</x:f>
        <x:v>134.35000000000002</x:v>
      </x:c>
      <x:c r="K723" s="16" t="n">
        <x:f>IFERROR(J723/H723,0)</x:f>
        <x:v>0.4142130414675505</x:v>
      </x:c>
      <x:c r="L723" s="14" t="str">
        <x:f>IF(J723&gt;0,"Provisional positive contribution","Not viable")</x:f>
        <x:v>Provisional positive contribution</x:v>
      </x:c>
    </x:row>
    <x:row r="724">
      <x:c r="A724" s="14" t="str">
        <x:v>220gsm Cotton</x:v>
      </x:c>
      <x:c r="B724" s="14" t="n">
        <x:v>100</x:v>
      </x:c>
      <x:c r="C724" s="15" t="n">
        <x:v>649</x:v>
      </x:c>
      <x:c r="D724" s="15" t="n">
        <x:v>349</x:v>
      </x:c>
      <x:c r="E724" s="16" t="n">
        <x:v>0.2</x:v>
      </x:c>
      <x:c r="F724" s="15" t="n">
        <x:f>INDEX('Inputs'!$D$4:$D$6,MATCH(A724,'Inputs'!$A$4:$A$6,0))</x:f>
        <x:v>105</x:v>
      </x:c>
      <x:c r="G724" s="15" t="n">
        <x:f>INDEX('Inputs'!$E$4:$E$6,MATCH(A724,'Inputs'!$A$4:$A$6,0))</x:f>
        <x:v>85</x:v>
      </x:c>
      <x:c r="H724" s="15" t="n">
        <x:f>D724*(1-E724)</x:f>
        <x:v>279.2</x:v>
      </x:c>
      <x:c r="I724" s="15" t="n">
        <x:f>F724+G724</x:f>
        <x:v>190</x:v>
      </x:c>
      <x:c r="J724" s="15" t="n">
        <x:f>H724-I724</x:f>
        <x:v>89.19999999999999</x:v>
      </x:c>
      <x:c r="K724" s="16" t="n">
        <x:f>IFERROR(J724/H724,0)</x:f>
        <x:v>0.31948424068767906</x:v>
      </x:c>
      <x:c r="L724" s="14" t="str">
        <x:f>IF(J724&gt;0,"Provisional positive contribution","Not viable")</x:f>
        <x:v>Provisional positive contribution</x:v>
      </x:c>
    </x:row>
    <x:row r="725">
      <x:c r="A725" s="14" t="str">
        <x:v>220gsm Cotton</x:v>
      </x:c>
      <x:c r="B725" s="14" t="n">
        <x:v>100</x:v>
      </x:c>
      <x:c r="C725" s="15" t="n">
        <x:v>649</x:v>
      </x:c>
      <x:c r="D725" s="15" t="n">
        <x:v>349</x:v>
      </x:c>
      <x:c r="E725" s="16" t="n">
        <x:v>0.25</x:v>
      </x:c>
      <x:c r="F725" s="15" t="n">
        <x:f>INDEX('Inputs'!$D$4:$D$6,MATCH(A725,'Inputs'!$A$4:$A$6,0))</x:f>
        <x:v>105</x:v>
      </x:c>
      <x:c r="G725" s="15" t="n">
        <x:f>INDEX('Inputs'!$E$4:$E$6,MATCH(A725,'Inputs'!$A$4:$A$6,0))</x:f>
        <x:v>85</x:v>
      </x:c>
      <x:c r="H725" s="15" t="n">
        <x:f>D725*(1-E725)</x:f>
        <x:v>261.75</x:v>
      </x:c>
      <x:c r="I725" s="15" t="n">
        <x:f>F725+G725</x:f>
        <x:v>190</x:v>
      </x:c>
      <x:c r="J725" s="15" t="n">
        <x:f>H725-I725</x:f>
        <x:v>71.75</x:v>
      </x:c>
      <x:c r="K725" s="16" t="n">
        <x:f>IFERROR(J725/H725,0)</x:f>
        <x:v>0.27411652340019105</x:v>
      </x:c>
      <x:c r="L725" s="14" t="str">
        <x:f>IF(J725&gt;0,"Provisional positive contribution","Not viable")</x:f>
        <x:v>Provisional positive contribution</x:v>
      </x:c>
    </x:row>
    <x:row r="726">
      <x:c r="A726" s="14" t="str">
        <x:v>220gsm Cotton</x:v>
      </x:c>
      <x:c r="B726" s="14" t="n">
        <x:v>100</x:v>
      </x:c>
      <x:c r="C726" s="15" t="n">
        <x:v>649</x:v>
      </x:c>
      <x:c r="D726" s="15" t="n">
        <x:v>349</x:v>
      </x:c>
      <x:c r="E726" s="16" t="n">
        <x:v>0.3</x:v>
      </x:c>
      <x:c r="F726" s="15" t="n">
        <x:f>INDEX('Inputs'!$D$4:$D$6,MATCH(A726,'Inputs'!$A$4:$A$6,0))</x:f>
        <x:v>105</x:v>
      </x:c>
      <x:c r="G726" s="15" t="n">
        <x:f>INDEX('Inputs'!$E$4:$E$6,MATCH(A726,'Inputs'!$A$4:$A$6,0))</x:f>
        <x:v>85</x:v>
      </x:c>
      <x:c r="H726" s="15" t="n">
        <x:f>D726*(1-E726)</x:f>
        <x:v>244.29999999999998</x:v>
      </x:c>
      <x:c r="I726" s="15" t="n">
        <x:f>F726+G726</x:f>
        <x:v>190</x:v>
      </x:c>
      <x:c r="J726" s="15" t="n">
        <x:f>H726-I726</x:f>
        <x:v>54.29999999999998</x:v>
      </x:c>
      <x:c r="K726" s="16" t="n">
        <x:f>IFERROR(J726/H726,0)</x:f>
        <x:v>0.22226770364306175</x:v>
      </x:c>
      <x:c r="L726" s="14" t="str">
        <x:f>IF(J726&gt;0,"Provisional positive contribution","Not viable")</x:f>
        <x:v>Provisional positive contribution</x:v>
      </x:c>
    </x:row>
    <x:row r="727">
      <x:c r="A727" s="14" t="str">
        <x:v>220gsm Cotton</x:v>
      </x:c>
      <x:c r="B727" s="14" t="n">
        <x:v>100</x:v>
      </x:c>
      <x:c r="C727" s="15" t="n">
        <x:v>649</x:v>
      </x:c>
      <x:c r="D727" s="15" t="n">
        <x:v>349</x:v>
      </x:c>
      <x:c r="E727" s="16" t="n">
        <x:v>0.35</x:v>
      </x:c>
      <x:c r="F727" s="15" t="n">
        <x:f>INDEX('Inputs'!$D$4:$D$6,MATCH(A727,'Inputs'!$A$4:$A$6,0))</x:f>
        <x:v>105</x:v>
      </x:c>
      <x:c r="G727" s="15" t="n">
        <x:f>INDEX('Inputs'!$E$4:$E$6,MATCH(A727,'Inputs'!$A$4:$A$6,0))</x:f>
        <x:v>85</x:v>
      </x:c>
      <x:c r="H727" s="15" t="n">
        <x:f>D727*(1-E727)</x:f>
        <x:v>226.85</x:v>
      </x:c>
      <x:c r="I727" s="15" t="n">
        <x:f>F727+G727</x:f>
        <x:v>190</x:v>
      </x:c>
      <x:c r="J727" s="15" t="n">
        <x:f>H727-I727</x:f>
        <x:v>36.849999999999994</x:v>
      </x:c>
      <x:c r="K727" s="16" t="n">
        <x:f>IFERROR(J727/H727,0)</x:f>
        <x:v>0.16244214238483579</x:v>
      </x:c>
      <x:c r="L727" s="14" t="str">
        <x:f>IF(J727&gt;0,"Provisional positive contribution","Not viable")</x:f>
        <x:v>Provisional positive contribution</x:v>
      </x:c>
    </x:row>
    <x:row r="728">
      <x:c r="A728" s="14" t="str">
        <x:v>220gsm Cotton</x:v>
      </x:c>
      <x:c r="B728" s="14" t="n">
        <x:v>100</x:v>
      </x:c>
      <x:c r="C728" s="15" t="n">
        <x:v>649</x:v>
      </x:c>
      <x:c r="D728" s="15" t="n">
        <x:v>399</x:v>
      </x:c>
      <x:c r="E728" s="16" t="n">
        <x:v>0.2</x:v>
      </x:c>
      <x:c r="F728" s="15" t="n">
        <x:f>INDEX('Inputs'!$D$4:$D$6,MATCH(A728,'Inputs'!$A$4:$A$6,0))</x:f>
        <x:v>105</x:v>
      </x:c>
      <x:c r="G728" s="15" t="n">
        <x:f>INDEX('Inputs'!$E$4:$E$6,MATCH(A728,'Inputs'!$A$4:$A$6,0))</x:f>
        <x:v>85</x:v>
      </x:c>
      <x:c r="H728" s="15" t="n">
        <x:f>D728*(1-E728)</x:f>
        <x:v>319.20000000000005</x:v>
      </x:c>
      <x:c r="I728" s="15" t="n">
        <x:f>F728+G728</x:f>
        <x:v>190</x:v>
      </x:c>
      <x:c r="J728" s="15" t="n">
        <x:f>H728-I728</x:f>
        <x:v>129.20000000000005</x:v>
      </x:c>
      <x:c r="K728" s="16" t="n">
        <x:f>IFERROR(J728/H728,0)</x:f>
        <x:v>0.4047619047619048</x:v>
      </x:c>
      <x:c r="L728" s="14" t="str">
        <x:f>IF(J728&gt;0,"Provisional positive contribution","Not viable")</x:f>
        <x:v>Provisional positive contribution</x:v>
      </x:c>
    </x:row>
    <x:row r="729">
      <x:c r="A729" s="14" t="str">
        <x:v>220gsm Cotton</x:v>
      </x:c>
      <x:c r="B729" s="14" t="n">
        <x:v>100</x:v>
      </x:c>
      <x:c r="C729" s="15" t="n">
        <x:v>649</x:v>
      </x:c>
      <x:c r="D729" s="15" t="n">
        <x:v>399</x:v>
      </x:c>
      <x:c r="E729" s="16" t="n">
        <x:v>0.25</x:v>
      </x:c>
      <x:c r="F729" s="15" t="n">
        <x:f>INDEX('Inputs'!$D$4:$D$6,MATCH(A729,'Inputs'!$A$4:$A$6,0))</x:f>
        <x:v>105</x:v>
      </x:c>
      <x:c r="G729" s="15" t="n">
        <x:f>INDEX('Inputs'!$E$4:$E$6,MATCH(A729,'Inputs'!$A$4:$A$6,0))</x:f>
        <x:v>85</x:v>
      </x:c>
      <x:c r="H729" s="15" t="n">
        <x:f>D729*(1-E729)</x:f>
        <x:v>299.25</x:v>
      </x:c>
      <x:c r="I729" s="15" t="n">
        <x:f>F729+G729</x:f>
        <x:v>190</x:v>
      </x:c>
      <x:c r="J729" s="15" t="n">
        <x:f>H729-I729</x:f>
        <x:v>109.25</x:v>
      </x:c>
      <x:c r="K729" s="16" t="n">
        <x:f>IFERROR(J729/H729,0)</x:f>
        <x:v>0.36507936507936506</x:v>
      </x:c>
      <x:c r="L729" s="14" t="str">
        <x:f>IF(J729&gt;0,"Provisional positive contribution","Not viable")</x:f>
        <x:v>Provisional positive contribution</x:v>
      </x:c>
    </x:row>
    <x:row r="730">
      <x:c r="A730" s="14" t="str">
        <x:v>220gsm Cotton</x:v>
      </x:c>
      <x:c r="B730" s="14" t="n">
        <x:v>100</x:v>
      </x:c>
      <x:c r="C730" s="15" t="n">
        <x:v>649</x:v>
      </x:c>
      <x:c r="D730" s="15" t="n">
        <x:v>399</x:v>
      </x:c>
      <x:c r="E730" s="16" t="n">
        <x:v>0.3</x:v>
      </x:c>
      <x:c r="F730" s="15" t="n">
        <x:f>INDEX('Inputs'!$D$4:$D$6,MATCH(A730,'Inputs'!$A$4:$A$6,0))</x:f>
        <x:v>105</x:v>
      </x:c>
      <x:c r="G730" s="15" t="n">
        <x:f>INDEX('Inputs'!$E$4:$E$6,MATCH(A730,'Inputs'!$A$4:$A$6,0))</x:f>
        <x:v>85</x:v>
      </x:c>
      <x:c r="H730" s="15" t="n">
        <x:f>D730*(1-E730)</x:f>
        <x:v>279.29999999999995</x:v>
      </x:c>
      <x:c r="I730" s="15" t="n">
        <x:f>F730+G730</x:f>
        <x:v>190</x:v>
      </x:c>
      <x:c r="J730" s="15" t="n">
        <x:f>H730-I730</x:f>
        <x:v>89.29999999999995</x:v>
      </x:c>
      <x:c r="K730" s="16" t="n">
        <x:f>IFERROR(J730/H730,0)</x:f>
        <x:v>0.3197278911564625</x:v>
      </x:c>
      <x:c r="L730" s="14" t="str">
        <x:f>IF(J730&gt;0,"Provisional positive contribution","Not viable")</x:f>
        <x:v>Provisional positive contribution</x:v>
      </x:c>
    </x:row>
    <x:row r="731">
      <x:c r="A731" s="14" t="str">
        <x:v>220gsm Cotton</x:v>
      </x:c>
      <x:c r="B731" s="14" t="n">
        <x:v>100</x:v>
      </x:c>
      <x:c r="C731" s="15" t="n">
        <x:v>649</x:v>
      </x:c>
      <x:c r="D731" s="15" t="n">
        <x:v>399</x:v>
      </x:c>
      <x:c r="E731" s="16" t="n">
        <x:v>0.35</x:v>
      </x:c>
      <x:c r="F731" s="15" t="n">
        <x:f>INDEX('Inputs'!$D$4:$D$6,MATCH(A731,'Inputs'!$A$4:$A$6,0))</x:f>
        <x:v>105</x:v>
      </x:c>
      <x:c r="G731" s="15" t="n">
        <x:f>INDEX('Inputs'!$E$4:$E$6,MATCH(A731,'Inputs'!$A$4:$A$6,0))</x:f>
        <x:v>85</x:v>
      </x:c>
      <x:c r="H731" s="15" t="n">
        <x:f>D731*(1-E731)</x:f>
        <x:v>259.35</x:v>
      </x:c>
      <x:c r="I731" s="15" t="n">
        <x:f>F731+G731</x:f>
        <x:v>190</x:v>
      </x:c>
      <x:c r="J731" s="15" t="n">
        <x:f>H731-I731</x:f>
        <x:v>69.35000000000002</x:v>
      </x:c>
      <x:c r="K731" s="16" t="n">
        <x:f>IFERROR(J731/H731,0)</x:f>
        <x:v>0.26739926739926745</x:v>
      </x:c>
      <x:c r="L731" s="14" t="str">
        <x:f>IF(J731&gt;0,"Provisional positive contribution","Not viable")</x:f>
        <x:v>Provisional positive contribution</x:v>
      </x:c>
    </x:row>
    <x:row r="732">
      <x:c r="A732" s="14" t="str">
        <x:v>220gsm Cotton</x:v>
      </x:c>
      <x:c r="B732" s="14" t="n">
        <x:v>100</x:v>
      </x:c>
      <x:c r="C732" s="15" t="n">
        <x:v>649</x:v>
      </x:c>
      <x:c r="D732" s="15" t="n">
        <x:v>449</x:v>
      </x:c>
      <x:c r="E732" s="16" t="n">
        <x:v>0.2</x:v>
      </x:c>
      <x:c r="F732" s="15" t="n">
        <x:f>INDEX('Inputs'!$D$4:$D$6,MATCH(A732,'Inputs'!$A$4:$A$6,0))</x:f>
        <x:v>105</x:v>
      </x:c>
      <x:c r="G732" s="15" t="n">
        <x:f>INDEX('Inputs'!$E$4:$E$6,MATCH(A732,'Inputs'!$A$4:$A$6,0))</x:f>
        <x:v>85</x:v>
      </x:c>
      <x:c r="H732" s="15" t="n">
        <x:f>D732*(1-E732)</x:f>
        <x:v>359.20000000000005</x:v>
      </x:c>
      <x:c r="I732" s="15" t="n">
        <x:f>F732+G732</x:f>
        <x:v>190</x:v>
      </x:c>
      <x:c r="J732" s="15" t="n">
        <x:f>H732-I732</x:f>
        <x:v>169.20000000000005</x:v>
      </x:c>
      <x:c r="K732" s="16" t="n">
        <x:f>IFERROR(J732/H732,0)</x:f>
        <x:v>0.4710467706013364</x:v>
      </x:c>
      <x:c r="L732" s="14" t="str">
        <x:f>IF(J732&gt;0,"Provisional positive contribution","Not viable")</x:f>
        <x:v>Provisional positive contribution</x:v>
      </x:c>
    </x:row>
    <x:row r="733">
      <x:c r="A733" s="14" t="str">
        <x:v>220gsm Cotton</x:v>
      </x:c>
      <x:c r="B733" s="14" t="n">
        <x:v>100</x:v>
      </x:c>
      <x:c r="C733" s="15" t="n">
        <x:v>649</x:v>
      </x:c>
      <x:c r="D733" s="15" t="n">
        <x:v>449</x:v>
      </x:c>
      <x:c r="E733" s="16" t="n">
        <x:v>0.25</x:v>
      </x:c>
      <x:c r="F733" s="15" t="n">
        <x:f>INDEX('Inputs'!$D$4:$D$6,MATCH(A733,'Inputs'!$A$4:$A$6,0))</x:f>
        <x:v>105</x:v>
      </x:c>
      <x:c r="G733" s="15" t="n">
        <x:f>INDEX('Inputs'!$E$4:$E$6,MATCH(A733,'Inputs'!$A$4:$A$6,0))</x:f>
        <x:v>85</x:v>
      </x:c>
      <x:c r="H733" s="15" t="n">
        <x:f>D733*(1-E733)</x:f>
        <x:v>336.75</x:v>
      </x:c>
      <x:c r="I733" s="15" t="n">
        <x:f>F733+G733</x:f>
        <x:v>190</x:v>
      </x:c>
      <x:c r="J733" s="15" t="n">
        <x:f>H733-I733</x:f>
        <x:v>146.75</x:v>
      </x:c>
      <x:c r="K733" s="16" t="n">
        <x:f>IFERROR(J733/H733,0)</x:f>
        <x:v>0.4357832219747587</x:v>
      </x:c>
      <x:c r="L733" s="14" t="str">
        <x:f>IF(J733&gt;0,"Provisional positive contribution","Not viable")</x:f>
        <x:v>Provisional positive contribution</x:v>
      </x:c>
    </x:row>
    <x:row r="734">
      <x:c r="A734" s="14" t="str">
        <x:v>220gsm Cotton</x:v>
      </x:c>
      <x:c r="B734" s="14" t="n">
        <x:v>100</x:v>
      </x:c>
      <x:c r="C734" s="15" t="n">
        <x:v>649</x:v>
      </x:c>
      <x:c r="D734" s="15" t="n">
        <x:v>449</x:v>
      </x:c>
      <x:c r="E734" s="16" t="n">
        <x:v>0.3</x:v>
      </x:c>
      <x:c r="F734" s="15" t="n">
        <x:f>INDEX('Inputs'!$D$4:$D$6,MATCH(A734,'Inputs'!$A$4:$A$6,0))</x:f>
        <x:v>105</x:v>
      </x:c>
      <x:c r="G734" s="15" t="n">
        <x:f>INDEX('Inputs'!$E$4:$E$6,MATCH(A734,'Inputs'!$A$4:$A$6,0))</x:f>
        <x:v>85</x:v>
      </x:c>
      <x:c r="H734" s="15" t="n">
        <x:f>D734*(1-E734)</x:f>
        <x:v>314.29999999999995</x:v>
      </x:c>
      <x:c r="I734" s="15" t="n">
        <x:f>F734+G734</x:f>
        <x:v>190</x:v>
      </x:c>
      <x:c r="J734" s="15" t="n">
        <x:f>H734-I734</x:f>
        <x:v>124.29999999999995</x:v>
      </x:c>
      <x:c r="K734" s="16" t="n">
        <x:f>IFERROR(J734/H734,0)</x:f>
        <x:v>0.3954820235443843</x:v>
      </x:c>
      <x:c r="L734" s="14" t="str">
        <x:f>IF(J734&gt;0,"Provisional positive contribution","Not viable")</x:f>
        <x:v>Provisional positive contribution</x:v>
      </x:c>
    </x:row>
    <x:row r="735">
      <x:c r="A735" s="14" t="str">
        <x:v>220gsm Cotton</x:v>
      </x:c>
      <x:c r="B735" s="14" t="n">
        <x:v>100</x:v>
      </x:c>
      <x:c r="C735" s="15" t="n">
        <x:v>649</x:v>
      </x:c>
      <x:c r="D735" s="15" t="n">
        <x:v>449</x:v>
      </x:c>
      <x:c r="E735" s="16" t="n">
        <x:v>0.35</x:v>
      </x:c>
      <x:c r="F735" s="15" t="n">
        <x:f>INDEX('Inputs'!$D$4:$D$6,MATCH(A735,'Inputs'!$A$4:$A$6,0))</x:f>
        <x:v>105</x:v>
      </x:c>
      <x:c r="G735" s="15" t="n">
        <x:f>INDEX('Inputs'!$E$4:$E$6,MATCH(A735,'Inputs'!$A$4:$A$6,0))</x:f>
        <x:v>85</x:v>
      </x:c>
      <x:c r="H735" s="15" t="n">
        <x:f>D735*(1-E735)</x:f>
        <x:v>291.85</x:v>
      </x:c>
      <x:c r="I735" s="15" t="n">
        <x:f>F735+G735</x:f>
        <x:v>190</x:v>
      </x:c>
      <x:c r="J735" s="15" t="n">
        <x:f>H735-I735</x:f>
        <x:v>101.85000000000002</x:v>
      </x:c>
      <x:c r="K735" s="16" t="n">
        <x:f>IFERROR(J735/H735,0)</x:f>
        <x:v>0.34898064074010626</x:v>
      </x:c>
      <x:c r="L735" s="14" t="str">
        <x:f>IF(J735&gt;0,"Provisional positive contribution","Not viable")</x:f>
        <x:v>Provisional positive contribution</x:v>
      </x:c>
    </x:row>
    <x:row r="736">
      <x:c r="A736" s="14" t="str">
        <x:v>220gsm Cotton</x:v>
      </x:c>
      <x:c r="B736" s="14" t="n">
        <x:v>100</x:v>
      </x:c>
      <x:c r="C736" s="15" t="n">
        <x:v>649</x:v>
      </x:c>
      <x:c r="D736" s="15" t="n">
        <x:v>499</x:v>
      </x:c>
      <x:c r="E736" s="16" t="n">
        <x:v>0.2</x:v>
      </x:c>
      <x:c r="F736" s="15" t="n">
        <x:f>INDEX('Inputs'!$D$4:$D$6,MATCH(A736,'Inputs'!$A$4:$A$6,0))</x:f>
        <x:v>105</x:v>
      </x:c>
      <x:c r="G736" s="15" t="n">
        <x:f>INDEX('Inputs'!$E$4:$E$6,MATCH(A736,'Inputs'!$A$4:$A$6,0))</x:f>
        <x:v>85</x:v>
      </x:c>
      <x:c r="H736" s="15" t="n">
        <x:f>D736*(1-E736)</x:f>
        <x:v>399.20000000000005</x:v>
      </x:c>
      <x:c r="I736" s="15" t="n">
        <x:f>F736+G736</x:f>
        <x:v>190</x:v>
      </x:c>
      <x:c r="J736" s="15" t="n">
        <x:f>H736-I736</x:f>
        <x:v>209.20000000000005</x:v>
      </x:c>
      <x:c r="K736" s="16" t="n">
        <x:f>IFERROR(J736/H736,0)</x:f>
        <x:v>0.5240480961923848</x:v>
      </x:c>
      <x:c r="L736" s="14" t="str">
        <x:f>IF(J736&gt;0,"Provisional positive contribution","Not viable")</x:f>
        <x:v>Provisional positive contribution</x:v>
      </x:c>
    </x:row>
    <x:row r="737">
      <x:c r="A737" s="14" t="str">
        <x:v>220gsm Cotton</x:v>
      </x:c>
      <x:c r="B737" s="14" t="n">
        <x:v>100</x:v>
      </x:c>
      <x:c r="C737" s="15" t="n">
        <x:v>649</x:v>
      </x:c>
      <x:c r="D737" s="15" t="n">
        <x:v>499</x:v>
      </x:c>
      <x:c r="E737" s="16" t="n">
        <x:v>0.25</x:v>
      </x:c>
      <x:c r="F737" s="15" t="n">
        <x:f>INDEX('Inputs'!$D$4:$D$6,MATCH(A737,'Inputs'!$A$4:$A$6,0))</x:f>
        <x:v>105</x:v>
      </x:c>
      <x:c r="G737" s="15" t="n">
        <x:f>INDEX('Inputs'!$E$4:$E$6,MATCH(A737,'Inputs'!$A$4:$A$6,0))</x:f>
        <x:v>85</x:v>
      </x:c>
      <x:c r="H737" s="15" t="n">
        <x:f>D737*(1-E737)</x:f>
        <x:v>374.25</x:v>
      </x:c>
      <x:c r="I737" s="15" t="n">
        <x:f>F737+G737</x:f>
        <x:v>190</x:v>
      </x:c>
      <x:c r="J737" s="15" t="n">
        <x:f>H737-I737</x:f>
        <x:v>184.25</x:v>
      </x:c>
      <x:c r="K737" s="16" t="n">
        <x:f>IFERROR(J737/H737,0)</x:f>
        <x:v>0.4923179692718771</x:v>
      </x:c>
      <x:c r="L737" s="14" t="str">
        <x:f>IF(J737&gt;0,"Provisional positive contribution","Not viable")</x:f>
        <x:v>Provisional positive contribution</x:v>
      </x:c>
    </x:row>
    <x:row r="738">
      <x:c r="A738" s="14" t="str">
        <x:v>220gsm Cotton</x:v>
      </x:c>
      <x:c r="B738" s="14" t="n">
        <x:v>100</x:v>
      </x:c>
      <x:c r="C738" s="15" t="n">
        <x:v>649</x:v>
      </x:c>
      <x:c r="D738" s="15" t="n">
        <x:v>499</x:v>
      </x:c>
      <x:c r="E738" s="16" t="n">
        <x:v>0.3</x:v>
      </x:c>
      <x:c r="F738" s="15" t="n">
        <x:f>INDEX('Inputs'!$D$4:$D$6,MATCH(A738,'Inputs'!$A$4:$A$6,0))</x:f>
        <x:v>105</x:v>
      </x:c>
      <x:c r="G738" s="15" t="n">
        <x:f>INDEX('Inputs'!$E$4:$E$6,MATCH(A738,'Inputs'!$A$4:$A$6,0))</x:f>
        <x:v>85</x:v>
      </x:c>
      <x:c r="H738" s="15" t="n">
        <x:f>D738*(1-E738)</x:f>
        <x:v>349.29999999999995</x:v>
      </x:c>
      <x:c r="I738" s="15" t="n">
        <x:f>F738+G738</x:f>
        <x:v>190</x:v>
      </x:c>
      <x:c r="J738" s="15" t="n">
        <x:f>H738-I738</x:f>
        <x:v>159.29999999999995</x:v>
      </x:c>
      <x:c r="K738" s="16" t="n">
        <x:f>IFERROR(J738/H738,0)</x:f>
        <x:v>0.4560549670770111</x:v>
      </x:c>
      <x:c r="L738" s="14" t="str">
        <x:f>IF(J738&gt;0,"Provisional positive contribution","Not viable")</x:f>
        <x:v>Provisional positive contribution</x:v>
      </x:c>
    </x:row>
    <x:row r="739">
      <x:c r="A739" s="14" t="str">
        <x:v>220gsm Cotton</x:v>
      </x:c>
      <x:c r="B739" s="14" t="n">
        <x:v>100</x:v>
      </x:c>
      <x:c r="C739" s="15" t="n">
        <x:v>649</x:v>
      </x:c>
      <x:c r="D739" s="15" t="n">
        <x:v>499</x:v>
      </x:c>
      <x:c r="E739" s="16" t="n">
        <x:v>0.35</x:v>
      </x:c>
      <x:c r="F739" s="15" t="n">
        <x:f>INDEX('Inputs'!$D$4:$D$6,MATCH(A739,'Inputs'!$A$4:$A$6,0))</x:f>
        <x:v>105</x:v>
      </x:c>
      <x:c r="G739" s="15" t="n">
        <x:f>INDEX('Inputs'!$E$4:$E$6,MATCH(A739,'Inputs'!$A$4:$A$6,0))</x:f>
        <x:v>85</x:v>
      </x:c>
      <x:c r="H739" s="15" t="n">
        <x:f>D739*(1-E739)</x:f>
        <x:v>324.35</x:v>
      </x:c>
      <x:c r="I739" s="15" t="n">
        <x:f>F739+G739</x:f>
        <x:v>190</x:v>
      </x:c>
      <x:c r="J739" s="15" t="n">
        <x:f>H739-I739</x:f>
        <x:v>134.35000000000002</x:v>
      </x:c>
      <x:c r="K739" s="16" t="n">
        <x:f>IFERROR(J739/H739,0)</x:f>
        <x:v>0.4142130414675505</x:v>
      </x:c>
      <x:c r="L739" s="14" t="str">
        <x:f>IF(J739&gt;0,"Provisional positive contribution","Not viable")</x:f>
        <x:v>Provisional positive contribution</x:v>
      </x:c>
    </x:row>
    <x:row r="740">
      <x:c r="A740" s="14" t="str">
        <x:v>220gsm Cotton</x:v>
      </x:c>
      <x:c r="B740" s="14" t="n">
        <x:v>100</x:v>
      </x:c>
      <x:c r="C740" s="15" t="n">
        <x:v>699</x:v>
      </x:c>
      <x:c r="D740" s="15" t="n">
        <x:v>349</x:v>
      </x:c>
      <x:c r="E740" s="16" t="n">
        <x:v>0.2</x:v>
      </x:c>
      <x:c r="F740" s="15" t="n">
        <x:f>INDEX('Inputs'!$D$4:$D$6,MATCH(A740,'Inputs'!$A$4:$A$6,0))</x:f>
        <x:v>105</x:v>
      </x:c>
      <x:c r="G740" s="15" t="n">
        <x:f>INDEX('Inputs'!$E$4:$E$6,MATCH(A740,'Inputs'!$A$4:$A$6,0))</x:f>
        <x:v>85</x:v>
      </x:c>
      <x:c r="H740" s="15" t="n">
        <x:f>D740*(1-E740)</x:f>
        <x:v>279.2</x:v>
      </x:c>
      <x:c r="I740" s="15" t="n">
        <x:f>F740+G740</x:f>
        <x:v>190</x:v>
      </x:c>
      <x:c r="J740" s="15" t="n">
        <x:f>H740-I740</x:f>
        <x:v>89.19999999999999</x:v>
      </x:c>
      <x:c r="K740" s="16" t="n">
        <x:f>IFERROR(J740/H740,0)</x:f>
        <x:v>0.31948424068767906</x:v>
      </x:c>
      <x:c r="L740" s="14" t="str">
        <x:f>IF(J740&gt;0,"Provisional positive contribution","Not viable")</x:f>
        <x:v>Provisional positive contribution</x:v>
      </x:c>
    </x:row>
    <x:row r="741">
      <x:c r="A741" s="14" t="str">
        <x:v>220gsm Cotton</x:v>
      </x:c>
      <x:c r="B741" s="14" t="n">
        <x:v>100</x:v>
      </x:c>
      <x:c r="C741" s="15" t="n">
        <x:v>699</x:v>
      </x:c>
      <x:c r="D741" s="15" t="n">
        <x:v>349</x:v>
      </x:c>
      <x:c r="E741" s="16" t="n">
        <x:v>0.25</x:v>
      </x:c>
      <x:c r="F741" s="15" t="n">
        <x:f>INDEX('Inputs'!$D$4:$D$6,MATCH(A741,'Inputs'!$A$4:$A$6,0))</x:f>
        <x:v>105</x:v>
      </x:c>
      <x:c r="G741" s="15" t="n">
        <x:f>INDEX('Inputs'!$E$4:$E$6,MATCH(A741,'Inputs'!$A$4:$A$6,0))</x:f>
        <x:v>85</x:v>
      </x:c>
      <x:c r="H741" s="15" t="n">
        <x:f>D741*(1-E741)</x:f>
        <x:v>261.75</x:v>
      </x:c>
      <x:c r="I741" s="15" t="n">
        <x:f>F741+G741</x:f>
        <x:v>190</x:v>
      </x:c>
      <x:c r="J741" s="15" t="n">
        <x:f>H741-I741</x:f>
        <x:v>71.75</x:v>
      </x:c>
      <x:c r="K741" s="16" t="n">
        <x:f>IFERROR(J741/H741,0)</x:f>
        <x:v>0.27411652340019105</x:v>
      </x:c>
      <x:c r="L741" s="14" t="str">
        <x:f>IF(J741&gt;0,"Provisional positive contribution","Not viable")</x:f>
        <x:v>Provisional positive contribution</x:v>
      </x:c>
    </x:row>
    <x:row r="742">
      <x:c r="A742" s="14" t="str">
        <x:v>220gsm Cotton</x:v>
      </x:c>
      <x:c r="B742" s="14" t="n">
        <x:v>100</x:v>
      </x:c>
      <x:c r="C742" s="15" t="n">
        <x:v>699</x:v>
      </x:c>
      <x:c r="D742" s="15" t="n">
        <x:v>349</x:v>
      </x:c>
      <x:c r="E742" s="16" t="n">
        <x:v>0.3</x:v>
      </x:c>
      <x:c r="F742" s="15" t="n">
        <x:f>INDEX('Inputs'!$D$4:$D$6,MATCH(A742,'Inputs'!$A$4:$A$6,0))</x:f>
        <x:v>105</x:v>
      </x:c>
      <x:c r="G742" s="15" t="n">
        <x:f>INDEX('Inputs'!$E$4:$E$6,MATCH(A742,'Inputs'!$A$4:$A$6,0))</x:f>
        <x:v>85</x:v>
      </x:c>
      <x:c r="H742" s="15" t="n">
        <x:f>D742*(1-E742)</x:f>
        <x:v>244.29999999999998</x:v>
      </x:c>
      <x:c r="I742" s="15" t="n">
        <x:f>F742+G742</x:f>
        <x:v>190</x:v>
      </x:c>
      <x:c r="J742" s="15" t="n">
        <x:f>H742-I742</x:f>
        <x:v>54.29999999999998</x:v>
      </x:c>
      <x:c r="K742" s="16" t="n">
        <x:f>IFERROR(J742/H742,0)</x:f>
        <x:v>0.22226770364306175</x:v>
      </x:c>
      <x:c r="L742" s="14" t="str">
        <x:f>IF(J742&gt;0,"Provisional positive contribution","Not viable")</x:f>
        <x:v>Provisional positive contribution</x:v>
      </x:c>
    </x:row>
    <x:row r="743">
      <x:c r="A743" s="14" t="str">
        <x:v>220gsm Cotton</x:v>
      </x:c>
      <x:c r="B743" s="14" t="n">
        <x:v>100</x:v>
      </x:c>
      <x:c r="C743" s="15" t="n">
        <x:v>699</x:v>
      </x:c>
      <x:c r="D743" s="15" t="n">
        <x:v>349</x:v>
      </x:c>
      <x:c r="E743" s="16" t="n">
        <x:v>0.35</x:v>
      </x:c>
      <x:c r="F743" s="15" t="n">
        <x:f>INDEX('Inputs'!$D$4:$D$6,MATCH(A743,'Inputs'!$A$4:$A$6,0))</x:f>
        <x:v>105</x:v>
      </x:c>
      <x:c r="G743" s="15" t="n">
        <x:f>INDEX('Inputs'!$E$4:$E$6,MATCH(A743,'Inputs'!$A$4:$A$6,0))</x:f>
        <x:v>85</x:v>
      </x:c>
      <x:c r="H743" s="15" t="n">
        <x:f>D743*(1-E743)</x:f>
        <x:v>226.85</x:v>
      </x:c>
      <x:c r="I743" s="15" t="n">
        <x:f>F743+G743</x:f>
        <x:v>190</x:v>
      </x:c>
      <x:c r="J743" s="15" t="n">
        <x:f>H743-I743</x:f>
        <x:v>36.849999999999994</x:v>
      </x:c>
      <x:c r="K743" s="16" t="n">
        <x:f>IFERROR(J743/H743,0)</x:f>
        <x:v>0.16244214238483579</x:v>
      </x:c>
      <x:c r="L743" s="14" t="str">
        <x:f>IF(J743&gt;0,"Provisional positive contribution","Not viable")</x:f>
        <x:v>Provisional positive contribution</x:v>
      </x:c>
    </x:row>
    <x:row r="744">
      <x:c r="A744" s="14" t="str">
        <x:v>220gsm Cotton</x:v>
      </x:c>
      <x:c r="B744" s="14" t="n">
        <x:v>100</x:v>
      </x:c>
      <x:c r="C744" s="15" t="n">
        <x:v>699</x:v>
      </x:c>
      <x:c r="D744" s="15" t="n">
        <x:v>399</x:v>
      </x:c>
      <x:c r="E744" s="16" t="n">
        <x:v>0.2</x:v>
      </x:c>
      <x:c r="F744" s="15" t="n">
        <x:f>INDEX('Inputs'!$D$4:$D$6,MATCH(A744,'Inputs'!$A$4:$A$6,0))</x:f>
        <x:v>105</x:v>
      </x:c>
      <x:c r="G744" s="15" t="n">
        <x:f>INDEX('Inputs'!$E$4:$E$6,MATCH(A744,'Inputs'!$A$4:$A$6,0))</x:f>
        <x:v>85</x:v>
      </x:c>
      <x:c r="H744" s="15" t="n">
        <x:f>D744*(1-E744)</x:f>
        <x:v>319.20000000000005</x:v>
      </x:c>
      <x:c r="I744" s="15" t="n">
        <x:f>F744+G744</x:f>
        <x:v>190</x:v>
      </x:c>
      <x:c r="J744" s="15" t="n">
        <x:f>H744-I744</x:f>
        <x:v>129.20000000000005</x:v>
      </x:c>
      <x:c r="K744" s="16" t="n">
        <x:f>IFERROR(J744/H744,0)</x:f>
        <x:v>0.4047619047619048</x:v>
      </x:c>
      <x:c r="L744" s="14" t="str">
        <x:f>IF(J744&gt;0,"Provisional positive contribution","Not viable")</x:f>
        <x:v>Provisional positive contribution</x:v>
      </x:c>
    </x:row>
    <x:row r="745">
      <x:c r="A745" s="14" t="str">
        <x:v>220gsm Cotton</x:v>
      </x:c>
      <x:c r="B745" s="14" t="n">
        <x:v>100</x:v>
      </x:c>
      <x:c r="C745" s="15" t="n">
        <x:v>699</x:v>
      </x:c>
      <x:c r="D745" s="15" t="n">
        <x:v>399</x:v>
      </x:c>
      <x:c r="E745" s="16" t="n">
        <x:v>0.25</x:v>
      </x:c>
      <x:c r="F745" s="15" t="n">
        <x:f>INDEX('Inputs'!$D$4:$D$6,MATCH(A745,'Inputs'!$A$4:$A$6,0))</x:f>
        <x:v>105</x:v>
      </x:c>
      <x:c r="G745" s="15" t="n">
        <x:f>INDEX('Inputs'!$E$4:$E$6,MATCH(A745,'Inputs'!$A$4:$A$6,0))</x:f>
        <x:v>85</x:v>
      </x:c>
      <x:c r="H745" s="15" t="n">
        <x:f>D745*(1-E745)</x:f>
        <x:v>299.25</x:v>
      </x:c>
      <x:c r="I745" s="15" t="n">
        <x:f>F745+G745</x:f>
        <x:v>190</x:v>
      </x:c>
      <x:c r="J745" s="15" t="n">
        <x:f>H745-I745</x:f>
        <x:v>109.25</x:v>
      </x:c>
      <x:c r="K745" s="16" t="n">
        <x:f>IFERROR(J745/H745,0)</x:f>
        <x:v>0.36507936507936506</x:v>
      </x:c>
      <x:c r="L745" s="14" t="str">
        <x:f>IF(J745&gt;0,"Provisional positive contribution","Not viable")</x:f>
        <x:v>Provisional positive contribution</x:v>
      </x:c>
    </x:row>
    <x:row r="746">
      <x:c r="A746" s="14" t="str">
        <x:v>220gsm Cotton</x:v>
      </x:c>
      <x:c r="B746" s="14" t="n">
        <x:v>100</x:v>
      </x:c>
      <x:c r="C746" s="15" t="n">
        <x:v>699</x:v>
      </x:c>
      <x:c r="D746" s="15" t="n">
        <x:v>399</x:v>
      </x:c>
      <x:c r="E746" s="16" t="n">
        <x:v>0.3</x:v>
      </x:c>
      <x:c r="F746" s="15" t="n">
        <x:f>INDEX('Inputs'!$D$4:$D$6,MATCH(A746,'Inputs'!$A$4:$A$6,0))</x:f>
        <x:v>105</x:v>
      </x:c>
      <x:c r="G746" s="15" t="n">
        <x:f>INDEX('Inputs'!$E$4:$E$6,MATCH(A746,'Inputs'!$A$4:$A$6,0))</x:f>
        <x:v>85</x:v>
      </x:c>
      <x:c r="H746" s="15" t="n">
        <x:f>D746*(1-E746)</x:f>
        <x:v>279.29999999999995</x:v>
      </x:c>
      <x:c r="I746" s="15" t="n">
        <x:f>F746+G746</x:f>
        <x:v>190</x:v>
      </x:c>
      <x:c r="J746" s="15" t="n">
        <x:f>H746-I746</x:f>
        <x:v>89.29999999999995</x:v>
      </x:c>
      <x:c r="K746" s="16" t="n">
        <x:f>IFERROR(J746/H746,0)</x:f>
        <x:v>0.3197278911564625</x:v>
      </x:c>
      <x:c r="L746" s="14" t="str">
        <x:f>IF(J746&gt;0,"Provisional positive contribution","Not viable")</x:f>
        <x:v>Provisional positive contribution</x:v>
      </x:c>
    </x:row>
    <x:row r="747">
      <x:c r="A747" s="14" t="str">
        <x:v>220gsm Cotton</x:v>
      </x:c>
      <x:c r="B747" s="14" t="n">
        <x:v>100</x:v>
      </x:c>
      <x:c r="C747" s="15" t="n">
        <x:v>699</x:v>
      </x:c>
      <x:c r="D747" s="15" t="n">
        <x:v>399</x:v>
      </x:c>
      <x:c r="E747" s="16" t="n">
        <x:v>0.35</x:v>
      </x:c>
      <x:c r="F747" s="15" t="n">
        <x:f>INDEX('Inputs'!$D$4:$D$6,MATCH(A747,'Inputs'!$A$4:$A$6,0))</x:f>
        <x:v>105</x:v>
      </x:c>
      <x:c r="G747" s="15" t="n">
        <x:f>INDEX('Inputs'!$E$4:$E$6,MATCH(A747,'Inputs'!$A$4:$A$6,0))</x:f>
        <x:v>85</x:v>
      </x:c>
      <x:c r="H747" s="15" t="n">
        <x:f>D747*(1-E747)</x:f>
        <x:v>259.35</x:v>
      </x:c>
      <x:c r="I747" s="15" t="n">
        <x:f>F747+G747</x:f>
        <x:v>190</x:v>
      </x:c>
      <x:c r="J747" s="15" t="n">
        <x:f>H747-I747</x:f>
        <x:v>69.35000000000002</x:v>
      </x:c>
      <x:c r="K747" s="16" t="n">
        <x:f>IFERROR(J747/H747,0)</x:f>
        <x:v>0.26739926739926745</x:v>
      </x:c>
      <x:c r="L747" s="14" t="str">
        <x:f>IF(J747&gt;0,"Provisional positive contribution","Not viable")</x:f>
        <x:v>Provisional positive contribution</x:v>
      </x:c>
    </x:row>
    <x:row r="748">
      <x:c r="A748" s="14" t="str">
        <x:v>220gsm Cotton</x:v>
      </x:c>
      <x:c r="B748" s="14" t="n">
        <x:v>100</x:v>
      </x:c>
      <x:c r="C748" s="15" t="n">
        <x:v>699</x:v>
      </x:c>
      <x:c r="D748" s="15" t="n">
        <x:v>449</x:v>
      </x:c>
      <x:c r="E748" s="16" t="n">
        <x:v>0.2</x:v>
      </x:c>
      <x:c r="F748" s="15" t="n">
        <x:f>INDEX('Inputs'!$D$4:$D$6,MATCH(A748,'Inputs'!$A$4:$A$6,0))</x:f>
        <x:v>105</x:v>
      </x:c>
      <x:c r="G748" s="15" t="n">
        <x:f>INDEX('Inputs'!$E$4:$E$6,MATCH(A748,'Inputs'!$A$4:$A$6,0))</x:f>
        <x:v>85</x:v>
      </x:c>
      <x:c r="H748" s="15" t="n">
        <x:f>D748*(1-E748)</x:f>
        <x:v>359.20000000000005</x:v>
      </x:c>
      <x:c r="I748" s="15" t="n">
        <x:f>F748+G748</x:f>
        <x:v>190</x:v>
      </x:c>
      <x:c r="J748" s="15" t="n">
        <x:f>H748-I748</x:f>
        <x:v>169.20000000000005</x:v>
      </x:c>
      <x:c r="K748" s="16" t="n">
        <x:f>IFERROR(J748/H748,0)</x:f>
        <x:v>0.4710467706013364</x:v>
      </x:c>
      <x:c r="L748" s="14" t="str">
        <x:f>IF(J748&gt;0,"Provisional positive contribution","Not viable")</x:f>
        <x:v>Provisional positive contribution</x:v>
      </x:c>
    </x:row>
    <x:row r="749">
      <x:c r="A749" s="14" t="str">
        <x:v>220gsm Cotton</x:v>
      </x:c>
      <x:c r="B749" s="14" t="n">
        <x:v>100</x:v>
      </x:c>
      <x:c r="C749" s="15" t="n">
        <x:v>699</x:v>
      </x:c>
      <x:c r="D749" s="15" t="n">
        <x:v>449</x:v>
      </x:c>
      <x:c r="E749" s="16" t="n">
        <x:v>0.25</x:v>
      </x:c>
      <x:c r="F749" s="15" t="n">
        <x:f>INDEX('Inputs'!$D$4:$D$6,MATCH(A749,'Inputs'!$A$4:$A$6,0))</x:f>
        <x:v>105</x:v>
      </x:c>
      <x:c r="G749" s="15" t="n">
        <x:f>INDEX('Inputs'!$E$4:$E$6,MATCH(A749,'Inputs'!$A$4:$A$6,0))</x:f>
        <x:v>85</x:v>
      </x:c>
      <x:c r="H749" s="15" t="n">
        <x:f>D749*(1-E749)</x:f>
        <x:v>336.75</x:v>
      </x:c>
      <x:c r="I749" s="15" t="n">
        <x:f>F749+G749</x:f>
        <x:v>190</x:v>
      </x:c>
      <x:c r="J749" s="15" t="n">
        <x:f>H749-I749</x:f>
        <x:v>146.75</x:v>
      </x:c>
      <x:c r="K749" s="16" t="n">
        <x:f>IFERROR(J749/H749,0)</x:f>
        <x:v>0.4357832219747587</x:v>
      </x:c>
      <x:c r="L749" s="14" t="str">
        <x:f>IF(J749&gt;0,"Provisional positive contribution","Not viable")</x:f>
        <x:v>Provisional positive contribution</x:v>
      </x:c>
    </x:row>
    <x:row r="750">
      <x:c r="A750" s="14" t="str">
        <x:v>220gsm Cotton</x:v>
      </x:c>
      <x:c r="B750" s="14" t="n">
        <x:v>100</x:v>
      </x:c>
      <x:c r="C750" s="15" t="n">
        <x:v>699</x:v>
      </x:c>
      <x:c r="D750" s="15" t="n">
        <x:v>449</x:v>
      </x:c>
      <x:c r="E750" s="16" t="n">
        <x:v>0.3</x:v>
      </x:c>
      <x:c r="F750" s="15" t="n">
        <x:f>INDEX('Inputs'!$D$4:$D$6,MATCH(A750,'Inputs'!$A$4:$A$6,0))</x:f>
        <x:v>105</x:v>
      </x:c>
      <x:c r="G750" s="15" t="n">
        <x:f>INDEX('Inputs'!$E$4:$E$6,MATCH(A750,'Inputs'!$A$4:$A$6,0))</x:f>
        <x:v>85</x:v>
      </x:c>
      <x:c r="H750" s="15" t="n">
        <x:f>D750*(1-E750)</x:f>
        <x:v>314.29999999999995</x:v>
      </x:c>
      <x:c r="I750" s="15" t="n">
        <x:f>F750+G750</x:f>
        <x:v>190</x:v>
      </x:c>
      <x:c r="J750" s="15" t="n">
        <x:f>H750-I750</x:f>
        <x:v>124.29999999999995</x:v>
      </x:c>
      <x:c r="K750" s="16" t="n">
        <x:f>IFERROR(J750/H750,0)</x:f>
        <x:v>0.3954820235443843</x:v>
      </x:c>
      <x:c r="L750" s="14" t="str">
        <x:f>IF(J750&gt;0,"Provisional positive contribution","Not viable")</x:f>
        <x:v>Provisional positive contribution</x:v>
      </x:c>
    </x:row>
    <x:row r="751">
      <x:c r="A751" s="14" t="str">
        <x:v>220gsm Cotton</x:v>
      </x:c>
      <x:c r="B751" s="14" t="n">
        <x:v>100</x:v>
      </x:c>
      <x:c r="C751" s="15" t="n">
        <x:v>699</x:v>
      </x:c>
      <x:c r="D751" s="15" t="n">
        <x:v>449</x:v>
      </x:c>
      <x:c r="E751" s="16" t="n">
        <x:v>0.35</x:v>
      </x:c>
      <x:c r="F751" s="15" t="n">
        <x:f>INDEX('Inputs'!$D$4:$D$6,MATCH(A751,'Inputs'!$A$4:$A$6,0))</x:f>
        <x:v>105</x:v>
      </x:c>
      <x:c r="G751" s="15" t="n">
        <x:f>INDEX('Inputs'!$E$4:$E$6,MATCH(A751,'Inputs'!$A$4:$A$6,0))</x:f>
        <x:v>85</x:v>
      </x:c>
      <x:c r="H751" s="15" t="n">
        <x:f>D751*(1-E751)</x:f>
        <x:v>291.85</x:v>
      </x:c>
      <x:c r="I751" s="15" t="n">
        <x:f>F751+G751</x:f>
        <x:v>190</x:v>
      </x:c>
      <x:c r="J751" s="15" t="n">
        <x:f>H751-I751</x:f>
        <x:v>101.85000000000002</x:v>
      </x:c>
      <x:c r="K751" s="16" t="n">
        <x:f>IFERROR(J751/H751,0)</x:f>
        <x:v>0.34898064074010626</x:v>
      </x:c>
      <x:c r="L751" s="14" t="str">
        <x:f>IF(J751&gt;0,"Provisional positive contribution","Not viable")</x:f>
        <x:v>Provisional positive contribution</x:v>
      </x:c>
    </x:row>
    <x:row r="752">
      <x:c r="A752" s="14" t="str">
        <x:v>220gsm Cotton</x:v>
      </x:c>
      <x:c r="B752" s="14" t="n">
        <x:v>100</x:v>
      </x:c>
      <x:c r="C752" s="15" t="n">
        <x:v>699</x:v>
      </x:c>
      <x:c r="D752" s="15" t="n">
        <x:v>499</x:v>
      </x:c>
      <x:c r="E752" s="16" t="n">
        <x:v>0.2</x:v>
      </x:c>
      <x:c r="F752" s="15" t="n">
        <x:f>INDEX('Inputs'!$D$4:$D$6,MATCH(A752,'Inputs'!$A$4:$A$6,0))</x:f>
        <x:v>105</x:v>
      </x:c>
      <x:c r="G752" s="15" t="n">
        <x:f>INDEX('Inputs'!$E$4:$E$6,MATCH(A752,'Inputs'!$A$4:$A$6,0))</x:f>
        <x:v>85</x:v>
      </x:c>
      <x:c r="H752" s="15" t="n">
        <x:f>D752*(1-E752)</x:f>
        <x:v>399.20000000000005</x:v>
      </x:c>
      <x:c r="I752" s="15" t="n">
        <x:f>F752+G752</x:f>
        <x:v>190</x:v>
      </x:c>
      <x:c r="J752" s="15" t="n">
        <x:f>H752-I752</x:f>
        <x:v>209.20000000000005</x:v>
      </x:c>
      <x:c r="K752" s="16" t="n">
        <x:f>IFERROR(J752/H752,0)</x:f>
        <x:v>0.5240480961923848</x:v>
      </x:c>
      <x:c r="L752" s="14" t="str">
        <x:f>IF(J752&gt;0,"Provisional positive contribution","Not viable")</x:f>
        <x:v>Provisional positive contribution</x:v>
      </x:c>
    </x:row>
    <x:row r="753">
      <x:c r="A753" s="14" t="str">
        <x:v>220gsm Cotton</x:v>
      </x:c>
      <x:c r="B753" s="14" t="n">
        <x:v>100</x:v>
      </x:c>
      <x:c r="C753" s="15" t="n">
        <x:v>699</x:v>
      </x:c>
      <x:c r="D753" s="15" t="n">
        <x:v>499</x:v>
      </x:c>
      <x:c r="E753" s="16" t="n">
        <x:v>0.25</x:v>
      </x:c>
      <x:c r="F753" s="15" t="n">
        <x:f>INDEX('Inputs'!$D$4:$D$6,MATCH(A753,'Inputs'!$A$4:$A$6,0))</x:f>
        <x:v>105</x:v>
      </x:c>
      <x:c r="G753" s="15" t="n">
        <x:f>INDEX('Inputs'!$E$4:$E$6,MATCH(A753,'Inputs'!$A$4:$A$6,0))</x:f>
        <x:v>85</x:v>
      </x:c>
      <x:c r="H753" s="15" t="n">
        <x:f>D753*(1-E753)</x:f>
        <x:v>374.25</x:v>
      </x:c>
      <x:c r="I753" s="15" t="n">
        <x:f>F753+G753</x:f>
        <x:v>190</x:v>
      </x:c>
      <x:c r="J753" s="15" t="n">
        <x:f>H753-I753</x:f>
        <x:v>184.25</x:v>
      </x:c>
      <x:c r="K753" s="16" t="n">
        <x:f>IFERROR(J753/H753,0)</x:f>
        <x:v>0.4923179692718771</x:v>
      </x:c>
      <x:c r="L753" s="14" t="str">
        <x:f>IF(J753&gt;0,"Provisional positive contribution","Not viable")</x:f>
        <x:v>Provisional positive contribution</x:v>
      </x:c>
    </x:row>
    <x:row r="754">
      <x:c r="A754" s="14" t="str">
        <x:v>220gsm Cotton</x:v>
      </x:c>
      <x:c r="B754" s="14" t="n">
        <x:v>100</x:v>
      </x:c>
      <x:c r="C754" s="15" t="n">
        <x:v>699</x:v>
      </x:c>
      <x:c r="D754" s="15" t="n">
        <x:v>499</x:v>
      </x:c>
      <x:c r="E754" s="16" t="n">
        <x:v>0.3</x:v>
      </x:c>
      <x:c r="F754" s="15" t="n">
        <x:f>INDEX('Inputs'!$D$4:$D$6,MATCH(A754,'Inputs'!$A$4:$A$6,0))</x:f>
        <x:v>105</x:v>
      </x:c>
      <x:c r="G754" s="15" t="n">
        <x:f>INDEX('Inputs'!$E$4:$E$6,MATCH(A754,'Inputs'!$A$4:$A$6,0))</x:f>
        <x:v>85</x:v>
      </x:c>
      <x:c r="H754" s="15" t="n">
        <x:f>D754*(1-E754)</x:f>
        <x:v>349.29999999999995</x:v>
      </x:c>
      <x:c r="I754" s="15" t="n">
        <x:f>F754+G754</x:f>
        <x:v>190</x:v>
      </x:c>
      <x:c r="J754" s="15" t="n">
        <x:f>H754-I754</x:f>
        <x:v>159.29999999999995</x:v>
      </x:c>
      <x:c r="K754" s="16" t="n">
        <x:f>IFERROR(J754/H754,0)</x:f>
        <x:v>0.4560549670770111</x:v>
      </x:c>
      <x:c r="L754" s="14" t="str">
        <x:f>IF(J754&gt;0,"Provisional positive contribution","Not viable")</x:f>
        <x:v>Provisional positive contribution</x:v>
      </x:c>
    </x:row>
    <x:row r="755">
      <x:c r="A755" s="14" t="str">
        <x:v>220gsm Cotton</x:v>
      </x:c>
      <x:c r="B755" s="14" t="n">
        <x:v>100</x:v>
      </x:c>
      <x:c r="C755" s="15" t="n">
        <x:v>699</x:v>
      </x:c>
      <x:c r="D755" s="15" t="n">
        <x:v>499</x:v>
      </x:c>
      <x:c r="E755" s="16" t="n">
        <x:v>0.35</x:v>
      </x:c>
      <x:c r="F755" s="15" t="n">
        <x:f>INDEX('Inputs'!$D$4:$D$6,MATCH(A755,'Inputs'!$A$4:$A$6,0))</x:f>
        <x:v>105</x:v>
      </x:c>
      <x:c r="G755" s="15" t="n">
        <x:f>INDEX('Inputs'!$E$4:$E$6,MATCH(A755,'Inputs'!$A$4:$A$6,0))</x:f>
        <x:v>85</x:v>
      </x:c>
      <x:c r="H755" s="15" t="n">
        <x:f>D755*(1-E755)</x:f>
        <x:v>324.35</x:v>
      </x:c>
      <x:c r="I755" s="15" t="n">
        <x:f>F755+G755</x:f>
        <x:v>190</x:v>
      </x:c>
      <x:c r="J755" s="15" t="n">
        <x:f>H755-I755</x:f>
        <x:v>134.35000000000002</x:v>
      </x:c>
      <x:c r="K755" s="16" t="n">
        <x:f>IFERROR(J755/H755,0)</x:f>
        <x:v>0.4142130414675505</x:v>
      </x:c>
      <x:c r="L755" s="14" t="str">
        <x:f>IF(J755&gt;0,"Provisional positive contribution","Not viable")</x:f>
        <x:v>Provisional positive contribution</x:v>
      </x:c>
    </x:row>
    <x:row r="756">
      <x:c r="A756" s="14" t="str">
        <x:v>220gsm Cotton</x:v>
      </x:c>
      <x:c r="B756" s="14" t="n">
        <x:v>100</x:v>
      </x:c>
      <x:c r="C756" s="15" t="n">
        <x:v>749</x:v>
      </x:c>
      <x:c r="D756" s="15" t="n">
        <x:v>349</x:v>
      </x:c>
      <x:c r="E756" s="16" t="n">
        <x:v>0.2</x:v>
      </x:c>
      <x:c r="F756" s="15" t="n">
        <x:f>INDEX('Inputs'!$D$4:$D$6,MATCH(A756,'Inputs'!$A$4:$A$6,0))</x:f>
        <x:v>105</x:v>
      </x:c>
      <x:c r="G756" s="15" t="n">
        <x:f>INDEX('Inputs'!$E$4:$E$6,MATCH(A756,'Inputs'!$A$4:$A$6,0))</x:f>
        <x:v>85</x:v>
      </x:c>
      <x:c r="H756" s="15" t="n">
        <x:f>D756*(1-E756)</x:f>
        <x:v>279.2</x:v>
      </x:c>
      <x:c r="I756" s="15" t="n">
        <x:f>F756+G756</x:f>
        <x:v>190</x:v>
      </x:c>
      <x:c r="J756" s="15" t="n">
        <x:f>H756-I756</x:f>
        <x:v>89.19999999999999</x:v>
      </x:c>
      <x:c r="K756" s="16" t="n">
        <x:f>IFERROR(J756/H756,0)</x:f>
        <x:v>0.31948424068767906</x:v>
      </x:c>
      <x:c r="L756" s="14" t="str">
        <x:f>IF(J756&gt;0,"Provisional positive contribution","Not viable")</x:f>
        <x:v>Provisional positive contribution</x:v>
      </x:c>
    </x:row>
    <x:row r="757">
      <x:c r="A757" s="14" t="str">
        <x:v>220gsm Cotton</x:v>
      </x:c>
      <x:c r="B757" s="14" t="n">
        <x:v>100</x:v>
      </x:c>
      <x:c r="C757" s="15" t="n">
        <x:v>749</x:v>
      </x:c>
      <x:c r="D757" s="15" t="n">
        <x:v>349</x:v>
      </x:c>
      <x:c r="E757" s="16" t="n">
        <x:v>0.25</x:v>
      </x:c>
      <x:c r="F757" s="15" t="n">
        <x:f>INDEX('Inputs'!$D$4:$D$6,MATCH(A757,'Inputs'!$A$4:$A$6,0))</x:f>
        <x:v>105</x:v>
      </x:c>
      <x:c r="G757" s="15" t="n">
        <x:f>INDEX('Inputs'!$E$4:$E$6,MATCH(A757,'Inputs'!$A$4:$A$6,0))</x:f>
        <x:v>85</x:v>
      </x:c>
      <x:c r="H757" s="15" t="n">
        <x:f>D757*(1-E757)</x:f>
        <x:v>261.75</x:v>
      </x:c>
      <x:c r="I757" s="15" t="n">
        <x:f>F757+G757</x:f>
        <x:v>190</x:v>
      </x:c>
      <x:c r="J757" s="15" t="n">
        <x:f>H757-I757</x:f>
        <x:v>71.75</x:v>
      </x:c>
      <x:c r="K757" s="16" t="n">
        <x:f>IFERROR(J757/H757,0)</x:f>
        <x:v>0.27411652340019105</x:v>
      </x:c>
      <x:c r="L757" s="14" t="str">
        <x:f>IF(J757&gt;0,"Provisional positive contribution","Not viable")</x:f>
        <x:v>Provisional positive contribution</x:v>
      </x:c>
    </x:row>
    <x:row r="758">
      <x:c r="A758" s="14" t="str">
        <x:v>220gsm Cotton</x:v>
      </x:c>
      <x:c r="B758" s="14" t="n">
        <x:v>100</x:v>
      </x:c>
      <x:c r="C758" s="15" t="n">
        <x:v>749</x:v>
      </x:c>
      <x:c r="D758" s="15" t="n">
        <x:v>349</x:v>
      </x:c>
      <x:c r="E758" s="16" t="n">
        <x:v>0.3</x:v>
      </x:c>
      <x:c r="F758" s="15" t="n">
        <x:f>INDEX('Inputs'!$D$4:$D$6,MATCH(A758,'Inputs'!$A$4:$A$6,0))</x:f>
        <x:v>105</x:v>
      </x:c>
      <x:c r="G758" s="15" t="n">
        <x:f>INDEX('Inputs'!$E$4:$E$6,MATCH(A758,'Inputs'!$A$4:$A$6,0))</x:f>
        <x:v>85</x:v>
      </x:c>
      <x:c r="H758" s="15" t="n">
        <x:f>D758*(1-E758)</x:f>
        <x:v>244.29999999999998</x:v>
      </x:c>
      <x:c r="I758" s="15" t="n">
        <x:f>F758+G758</x:f>
        <x:v>190</x:v>
      </x:c>
      <x:c r="J758" s="15" t="n">
        <x:f>H758-I758</x:f>
        <x:v>54.29999999999998</x:v>
      </x:c>
      <x:c r="K758" s="16" t="n">
        <x:f>IFERROR(J758/H758,0)</x:f>
        <x:v>0.22226770364306175</x:v>
      </x:c>
      <x:c r="L758" s="14" t="str">
        <x:f>IF(J758&gt;0,"Provisional positive contribution","Not viable")</x:f>
        <x:v>Provisional positive contribution</x:v>
      </x:c>
    </x:row>
    <x:row r="759">
      <x:c r="A759" s="14" t="str">
        <x:v>220gsm Cotton</x:v>
      </x:c>
      <x:c r="B759" s="14" t="n">
        <x:v>100</x:v>
      </x:c>
      <x:c r="C759" s="15" t="n">
        <x:v>749</x:v>
      </x:c>
      <x:c r="D759" s="15" t="n">
        <x:v>349</x:v>
      </x:c>
      <x:c r="E759" s="16" t="n">
        <x:v>0.35</x:v>
      </x:c>
      <x:c r="F759" s="15" t="n">
        <x:f>INDEX('Inputs'!$D$4:$D$6,MATCH(A759,'Inputs'!$A$4:$A$6,0))</x:f>
        <x:v>105</x:v>
      </x:c>
      <x:c r="G759" s="15" t="n">
        <x:f>INDEX('Inputs'!$E$4:$E$6,MATCH(A759,'Inputs'!$A$4:$A$6,0))</x:f>
        <x:v>85</x:v>
      </x:c>
      <x:c r="H759" s="15" t="n">
        <x:f>D759*(1-E759)</x:f>
        <x:v>226.85</x:v>
      </x:c>
      <x:c r="I759" s="15" t="n">
        <x:f>F759+G759</x:f>
        <x:v>190</x:v>
      </x:c>
      <x:c r="J759" s="15" t="n">
        <x:f>H759-I759</x:f>
        <x:v>36.849999999999994</x:v>
      </x:c>
      <x:c r="K759" s="16" t="n">
        <x:f>IFERROR(J759/H759,0)</x:f>
        <x:v>0.16244214238483579</x:v>
      </x:c>
      <x:c r="L759" s="14" t="str">
        <x:f>IF(J759&gt;0,"Provisional positive contribution","Not viable")</x:f>
        <x:v>Provisional positive contribution</x:v>
      </x:c>
    </x:row>
    <x:row r="760">
      <x:c r="A760" s="14" t="str">
        <x:v>220gsm Cotton</x:v>
      </x:c>
      <x:c r="B760" s="14" t="n">
        <x:v>100</x:v>
      </x:c>
      <x:c r="C760" s="15" t="n">
        <x:v>749</x:v>
      </x:c>
      <x:c r="D760" s="15" t="n">
        <x:v>399</x:v>
      </x:c>
      <x:c r="E760" s="16" t="n">
        <x:v>0.2</x:v>
      </x:c>
      <x:c r="F760" s="15" t="n">
        <x:f>INDEX('Inputs'!$D$4:$D$6,MATCH(A760,'Inputs'!$A$4:$A$6,0))</x:f>
        <x:v>105</x:v>
      </x:c>
      <x:c r="G760" s="15" t="n">
        <x:f>INDEX('Inputs'!$E$4:$E$6,MATCH(A760,'Inputs'!$A$4:$A$6,0))</x:f>
        <x:v>85</x:v>
      </x:c>
      <x:c r="H760" s="15" t="n">
        <x:f>D760*(1-E760)</x:f>
        <x:v>319.20000000000005</x:v>
      </x:c>
      <x:c r="I760" s="15" t="n">
        <x:f>F760+G760</x:f>
        <x:v>190</x:v>
      </x:c>
      <x:c r="J760" s="15" t="n">
        <x:f>H760-I760</x:f>
        <x:v>129.20000000000005</x:v>
      </x:c>
      <x:c r="K760" s="16" t="n">
        <x:f>IFERROR(J760/H760,0)</x:f>
        <x:v>0.4047619047619048</x:v>
      </x:c>
      <x:c r="L760" s="14" t="str">
        <x:f>IF(J760&gt;0,"Provisional positive contribution","Not viable")</x:f>
        <x:v>Provisional positive contribution</x:v>
      </x:c>
    </x:row>
    <x:row r="761">
      <x:c r="A761" s="14" t="str">
        <x:v>220gsm Cotton</x:v>
      </x:c>
      <x:c r="B761" s="14" t="n">
        <x:v>100</x:v>
      </x:c>
      <x:c r="C761" s="15" t="n">
        <x:v>749</x:v>
      </x:c>
      <x:c r="D761" s="15" t="n">
        <x:v>399</x:v>
      </x:c>
      <x:c r="E761" s="16" t="n">
        <x:v>0.25</x:v>
      </x:c>
      <x:c r="F761" s="15" t="n">
        <x:f>INDEX('Inputs'!$D$4:$D$6,MATCH(A761,'Inputs'!$A$4:$A$6,0))</x:f>
        <x:v>105</x:v>
      </x:c>
      <x:c r="G761" s="15" t="n">
        <x:f>INDEX('Inputs'!$E$4:$E$6,MATCH(A761,'Inputs'!$A$4:$A$6,0))</x:f>
        <x:v>85</x:v>
      </x:c>
      <x:c r="H761" s="15" t="n">
        <x:f>D761*(1-E761)</x:f>
        <x:v>299.25</x:v>
      </x:c>
      <x:c r="I761" s="15" t="n">
        <x:f>F761+G761</x:f>
        <x:v>190</x:v>
      </x:c>
      <x:c r="J761" s="15" t="n">
        <x:f>H761-I761</x:f>
        <x:v>109.25</x:v>
      </x:c>
      <x:c r="K761" s="16" t="n">
        <x:f>IFERROR(J761/H761,0)</x:f>
        <x:v>0.36507936507936506</x:v>
      </x:c>
      <x:c r="L761" s="14" t="str">
        <x:f>IF(J761&gt;0,"Provisional positive contribution","Not viable")</x:f>
        <x:v>Provisional positive contribution</x:v>
      </x:c>
    </x:row>
    <x:row r="762">
      <x:c r="A762" s="14" t="str">
        <x:v>220gsm Cotton</x:v>
      </x:c>
      <x:c r="B762" s="14" t="n">
        <x:v>100</x:v>
      </x:c>
      <x:c r="C762" s="15" t="n">
        <x:v>749</x:v>
      </x:c>
      <x:c r="D762" s="15" t="n">
        <x:v>399</x:v>
      </x:c>
      <x:c r="E762" s="16" t="n">
        <x:v>0.3</x:v>
      </x:c>
      <x:c r="F762" s="15" t="n">
        <x:f>INDEX('Inputs'!$D$4:$D$6,MATCH(A762,'Inputs'!$A$4:$A$6,0))</x:f>
        <x:v>105</x:v>
      </x:c>
      <x:c r="G762" s="15" t="n">
        <x:f>INDEX('Inputs'!$E$4:$E$6,MATCH(A762,'Inputs'!$A$4:$A$6,0))</x:f>
        <x:v>85</x:v>
      </x:c>
      <x:c r="H762" s="15" t="n">
        <x:f>D762*(1-E762)</x:f>
        <x:v>279.29999999999995</x:v>
      </x:c>
      <x:c r="I762" s="15" t="n">
        <x:f>F762+G762</x:f>
        <x:v>190</x:v>
      </x:c>
      <x:c r="J762" s="15" t="n">
        <x:f>H762-I762</x:f>
        <x:v>89.29999999999995</x:v>
      </x:c>
      <x:c r="K762" s="16" t="n">
        <x:f>IFERROR(J762/H762,0)</x:f>
        <x:v>0.3197278911564625</x:v>
      </x:c>
      <x:c r="L762" s="14" t="str">
        <x:f>IF(J762&gt;0,"Provisional positive contribution","Not viable")</x:f>
        <x:v>Provisional positive contribution</x:v>
      </x:c>
    </x:row>
    <x:row r="763">
      <x:c r="A763" s="14" t="str">
        <x:v>220gsm Cotton</x:v>
      </x:c>
      <x:c r="B763" s="14" t="n">
        <x:v>100</x:v>
      </x:c>
      <x:c r="C763" s="15" t="n">
        <x:v>749</x:v>
      </x:c>
      <x:c r="D763" s="15" t="n">
        <x:v>399</x:v>
      </x:c>
      <x:c r="E763" s="16" t="n">
        <x:v>0.35</x:v>
      </x:c>
      <x:c r="F763" s="15" t="n">
        <x:f>INDEX('Inputs'!$D$4:$D$6,MATCH(A763,'Inputs'!$A$4:$A$6,0))</x:f>
        <x:v>105</x:v>
      </x:c>
      <x:c r="G763" s="15" t="n">
        <x:f>INDEX('Inputs'!$E$4:$E$6,MATCH(A763,'Inputs'!$A$4:$A$6,0))</x:f>
        <x:v>85</x:v>
      </x:c>
      <x:c r="H763" s="15" t="n">
        <x:f>D763*(1-E763)</x:f>
        <x:v>259.35</x:v>
      </x:c>
      <x:c r="I763" s="15" t="n">
        <x:f>F763+G763</x:f>
        <x:v>190</x:v>
      </x:c>
      <x:c r="J763" s="15" t="n">
        <x:f>H763-I763</x:f>
        <x:v>69.35000000000002</x:v>
      </x:c>
      <x:c r="K763" s="16" t="n">
        <x:f>IFERROR(J763/H763,0)</x:f>
        <x:v>0.26739926739926745</x:v>
      </x:c>
      <x:c r="L763" s="14" t="str">
        <x:f>IF(J763&gt;0,"Provisional positive contribution","Not viable")</x:f>
        <x:v>Provisional positive contribution</x:v>
      </x:c>
    </x:row>
    <x:row r="764">
      <x:c r="A764" s="14" t="str">
        <x:v>220gsm Cotton</x:v>
      </x:c>
      <x:c r="B764" s="14" t="n">
        <x:v>100</x:v>
      </x:c>
      <x:c r="C764" s="15" t="n">
        <x:v>749</x:v>
      </x:c>
      <x:c r="D764" s="15" t="n">
        <x:v>449</x:v>
      </x:c>
      <x:c r="E764" s="16" t="n">
        <x:v>0.2</x:v>
      </x:c>
      <x:c r="F764" s="15" t="n">
        <x:f>INDEX('Inputs'!$D$4:$D$6,MATCH(A764,'Inputs'!$A$4:$A$6,0))</x:f>
        <x:v>105</x:v>
      </x:c>
      <x:c r="G764" s="15" t="n">
        <x:f>INDEX('Inputs'!$E$4:$E$6,MATCH(A764,'Inputs'!$A$4:$A$6,0))</x:f>
        <x:v>85</x:v>
      </x:c>
      <x:c r="H764" s="15" t="n">
        <x:f>D764*(1-E764)</x:f>
        <x:v>359.20000000000005</x:v>
      </x:c>
      <x:c r="I764" s="15" t="n">
        <x:f>F764+G764</x:f>
        <x:v>190</x:v>
      </x:c>
      <x:c r="J764" s="15" t="n">
        <x:f>H764-I764</x:f>
        <x:v>169.20000000000005</x:v>
      </x:c>
      <x:c r="K764" s="16" t="n">
        <x:f>IFERROR(J764/H764,0)</x:f>
        <x:v>0.4710467706013364</x:v>
      </x:c>
      <x:c r="L764" s="14" t="str">
        <x:f>IF(J764&gt;0,"Provisional positive contribution","Not viable")</x:f>
        <x:v>Provisional positive contribution</x:v>
      </x:c>
    </x:row>
    <x:row r="765">
      <x:c r="A765" s="14" t="str">
        <x:v>220gsm Cotton</x:v>
      </x:c>
      <x:c r="B765" s="14" t="n">
        <x:v>100</x:v>
      </x:c>
      <x:c r="C765" s="15" t="n">
        <x:v>749</x:v>
      </x:c>
      <x:c r="D765" s="15" t="n">
        <x:v>449</x:v>
      </x:c>
      <x:c r="E765" s="16" t="n">
        <x:v>0.25</x:v>
      </x:c>
      <x:c r="F765" s="15" t="n">
        <x:f>INDEX('Inputs'!$D$4:$D$6,MATCH(A765,'Inputs'!$A$4:$A$6,0))</x:f>
        <x:v>105</x:v>
      </x:c>
      <x:c r="G765" s="15" t="n">
        <x:f>INDEX('Inputs'!$E$4:$E$6,MATCH(A765,'Inputs'!$A$4:$A$6,0))</x:f>
        <x:v>85</x:v>
      </x:c>
      <x:c r="H765" s="15" t="n">
        <x:f>D765*(1-E765)</x:f>
        <x:v>336.75</x:v>
      </x:c>
      <x:c r="I765" s="15" t="n">
        <x:f>F765+G765</x:f>
        <x:v>190</x:v>
      </x:c>
      <x:c r="J765" s="15" t="n">
        <x:f>H765-I765</x:f>
        <x:v>146.75</x:v>
      </x:c>
      <x:c r="K765" s="16" t="n">
        <x:f>IFERROR(J765/H765,0)</x:f>
        <x:v>0.4357832219747587</x:v>
      </x:c>
      <x:c r="L765" s="14" t="str">
        <x:f>IF(J765&gt;0,"Provisional positive contribution","Not viable")</x:f>
        <x:v>Provisional positive contribution</x:v>
      </x:c>
    </x:row>
    <x:row r="766">
      <x:c r="A766" s="14" t="str">
        <x:v>220gsm Cotton</x:v>
      </x:c>
      <x:c r="B766" s="14" t="n">
        <x:v>100</x:v>
      </x:c>
      <x:c r="C766" s="15" t="n">
        <x:v>749</x:v>
      </x:c>
      <x:c r="D766" s="15" t="n">
        <x:v>449</x:v>
      </x:c>
      <x:c r="E766" s="16" t="n">
        <x:v>0.3</x:v>
      </x:c>
      <x:c r="F766" s="15" t="n">
        <x:f>INDEX('Inputs'!$D$4:$D$6,MATCH(A766,'Inputs'!$A$4:$A$6,0))</x:f>
        <x:v>105</x:v>
      </x:c>
      <x:c r="G766" s="15" t="n">
        <x:f>INDEX('Inputs'!$E$4:$E$6,MATCH(A766,'Inputs'!$A$4:$A$6,0))</x:f>
        <x:v>85</x:v>
      </x:c>
      <x:c r="H766" s="15" t="n">
        <x:f>D766*(1-E766)</x:f>
        <x:v>314.29999999999995</x:v>
      </x:c>
      <x:c r="I766" s="15" t="n">
        <x:f>F766+G766</x:f>
        <x:v>190</x:v>
      </x:c>
      <x:c r="J766" s="15" t="n">
        <x:f>H766-I766</x:f>
        <x:v>124.29999999999995</x:v>
      </x:c>
      <x:c r="K766" s="16" t="n">
        <x:f>IFERROR(J766/H766,0)</x:f>
        <x:v>0.3954820235443843</x:v>
      </x:c>
      <x:c r="L766" s="14" t="str">
        <x:f>IF(J766&gt;0,"Provisional positive contribution","Not viable")</x:f>
        <x:v>Provisional positive contribution</x:v>
      </x:c>
    </x:row>
    <x:row r="767">
      <x:c r="A767" s="14" t="str">
        <x:v>220gsm Cotton</x:v>
      </x:c>
      <x:c r="B767" s="14" t="n">
        <x:v>100</x:v>
      </x:c>
      <x:c r="C767" s="15" t="n">
        <x:v>749</x:v>
      </x:c>
      <x:c r="D767" s="15" t="n">
        <x:v>449</x:v>
      </x:c>
      <x:c r="E767" s="16" t="n">
        <x:v>0.35</x:v>
      </x:c>
      <x:c r="F767" s="15" t="n">
        <x:f>INDEX('Inputs'!$D$4:$D$6,MATCH(A767,'Inputs'!$A$4:$A$6,0))</x:f>
        <x:v>105</x:v>
      </x:c>
      <x:c r="G767" s="15" t="n">
        <x:f>INDEX('Inputs'!$E$4:$E$6,MATCH(A767,'Inputs'!$A$4:$A$6,0))</x:f>
        <x:v>85</x:v>
      </x:c>
      <x:c r="H767" s="15" t="n">
        <x:f>D767*(1-E767)</x:f>
        <x:v>291.85</x:v>
      </x:c>
      <x:c r="I767" s="15" t="n">
        <x:f>F767+G767</x:f>
        <x:v>190</x:v>
      </x:c>
      <x:c r="J767" s="15" t="n">
        <x:f>H767-I767</x:f>
        <x:v>101.85000000000002</x:v>
      </x:c>
      <x:c r="K767" s="16" t="n">
        <x:f>IFERROR(J767/H767,0)</x:f>
        <x:v>0.34898064074010626</x:v>
      </x:c>
      <x:c r="L767" s="14" t="str">
        <x:f>IF(J767&gt;0,"Provisional positive contribution","Not viable")</x:f>
        <x:v>Provisional positive contribution</x:v>
      </x:c>
    </x:row>
    <x:row r="768">
      <x:c r="A768" s="14" t="str">
        <x:v>220gsm Cotton</x:v>
      </x:c>
      <x:c r="B768" s="14" t="n">
        <x:v>100</x:v>
      </x:c>
      <x:c r="C768" s="15" t="n">
        <x:v>749</x:v>
      </x:c>
      <x:c r="D768" s="15" t="n">
        <x:v>499</x:v>
      </x:c>
      <x:c r="E768" s="16" t="n">
        <x:v>0.2</x:v>
      </x:c>
      <x:c r="F768" s="15" t="n">
        <x:f>INDEX('Inputs'!$D$4:$D$6,MATCH(A768,'Inputs'!$A$4:$A$6,0))</x:f>
        <x:v>105</x:v>
      </x:c>
      <x:c r="G768" s="15" t="n">
        <x:f>INDEX('Inputs'!$E$4:$E$6,MATCH(A768,'Inputs'!$A$4:$A$6,0))</x:f>
        <x:v>85</x:v>
      </x:c>
      <x:c r="H768" s="15" t="n">
        <x:f>D768*(1-E768)</x:f>
        <x:v>399.20000000000005</x:v>
      </x:c>
      <x:c r="I768" s="15" t="n">
        <x:f>F768+G768</x:f>
        <x:v>190</x:v>
      </x:c>
      <x:c r="J768" s="15" t="n">
        <x:f>H768-I768</x:f>
        <x:v>209.20000000000005</x:v>
      </x:c>
      <x:c r="K768" s="16" t="n">
        <x:f>IFERROR(J768/H768,0)</x:f>
        <x:v>0.5240480961923848</x:v>
      </x:c>
      <x:c r="L768" s="14" t="str">
        <x:f>IF(J768&gt;0,"Provisional positive contribution","Not viable")</x:f>
        <x:v>Provisional positive contribution</x:v>
      </x:c>
    </x:row>
    <x:row r="769">
      <x:c r="A769" s="14" t="str">
        <x:v>220gsm Cotton</x:v>
      </x:c>
      <x:c r="B769" s="14" t="n">
        <x:v>100</x:v>
      </x:c>
      <x:c r="C769" s="15" t="n">
        <x:v>749</x:v>
      </x:c>
      <x:c r="D769" s="15" t="n">
        <x:v>499</x:v>
      </x:c>
      <x:c r="E769" s="16" t="n">
        <x:v>0.25</x:v>
      </x:c>
      <x:c r="F769" s="15" t="n">
        <x:f>INDEX('Inputs'!$D$4:$D$6,MATCH(A769,'Inputs'!$A$4:$A$6,0))</x:f>
        <x:v>105</x:v>
      </x:c>
      <x:c r="G769" s="15" t="n">
        <x:f>INDEX('Inputs'!$E$4:$E$6,MATCH(A769,'Inputs'!$A$4:$A$6,0))</x:f>
        <x:v>85</x:v>
      </x:c>
      <x:c r="H769" s="15" t="n">
        <x:f>D769*(1-E769)</x:f>
        <x:v>374.25</x:v>
      </x:c>
      <x:c r="I769" s="15" t="n">
        <x:f>F769+G769</x:f>
        <x:v>190</x:v>
      </x:c>
      <x:c r="J769" s="15" t="n">
        <x:f>H769-I769</x:f>
        <x:v>184.25</x:v>
      </x:c>
      <x:c r="K769" s="16" t="n">
        <x:f>IFERROR(J769/H769,0)</x:f>
        <x:v>0.4923179692718771</x:v>
      </x:c>
      <x:c r="L769" s="14" t="str">
        <x:f>IF(J769&gt;0,"Provisional positive contribution","Not viable")</x:f>
        <x:v>Provisional positive contribution</x:v>
      </x:c>
    </x:row>
    <x:row r="770">
      <x:c r="A770" s="14" t="str">
        <x:v>220gsm Cotton</x:v>
      </x:c>
      <x:c r="B770" s="14" t="n">
        <x:v>100</x:v>
      </x:c>
      <x:c r="C770" s="15" t="n">
        <x:v>749</x:v>
      </x:c>
      <x:c r="D770" s="15" t="n">
        <x:v>499</x:v>
      </x:c>
      <x:c r="E770" s="16" t="n">
        <x:v>0.3</x:v>
      </x:c>
      <x:c r="F770" s="15" t="n">
        <x:f>INDEX('Inputs'!$D$4:$D$6,MATCH(A770,'Inputs'!$A$4:$A$6,0))</x:f>
        <x:v>105</x:v>
      </x:c>
      <x:c r="G770" s="15" t="n">
        <x:f>INDEX('Inputs'!$E$4:$E$6,MATCH(A770,'Inputs'!$A$4:$A$6,0))</x:f>
        <x:v>85</x:v>
      </x:c>
      <x:c r="H770" s="15" t="n">
        <x:f>D770*(1-E770)</x:f>
        <x:v>349.29999999999995</x:v>
      </x:c>
      <x:c r="I770" s="15" t="n">
        <x:f>F770+G770</x:f>
        <x:v>190</x:v>
      </x:c>
      <x:c r="J770" s="15" t="n">
        <x:f>H770-I770</x:f>
        <x:v>159.29999999999995</x:v>
      </x:c>
      <x:c r="K770" s="16" t="n">
        <x:f>IFERROR(J770/H770,0)</x:f>
        <x:v>0.4560549670770111</x:v>
      </x:c>
      <x:c r="L770" s="14" t="str">
        <x:f>IF(J770&gt;0,"Provisional positive contribution","Not viable")</x:f>
        <x:v>Provisional positive contribution</x:v>
      </x:c>
    </x:row>
    <x:row r="771">
      <x:c r="A771" s="14" t="str">
        <x:v>220gsm Cotton</x:v>
      </x:c>
      <x:c r="B771" s="14" t="n">
        <x:v>100</x:v>
      </x:c>
      <x:c r="C771" s="15" t="n">
        <x:v>749</x:v>
      </x:c>
      <x:c r="D771" s="15" t="n">
        <x:v>499</x:v>
      </x:c>
      <x:c r="E771" s="16" t="n">
        <x:v>0.35</x:v>
      </x:c>
      <x:c r="F771" s="15" t="n">
        <x:f>INDEX('Inputs'!$D$4:$D$6,MATCH(A771,'Inputs'!$A$4:$A$6,0))</x:f>
        <x:v>105</x:v>
      </x:c>
      <x:c r="G771" s="15" t="n">
        <x:f>INDEX('Inputs'!$E$4:$E$6,MATCH(A771,'Inputs'!$A$4:$A$6,0))</x:f>
        <x:v>85</x:v>
      </x:c>
      <x:c r="H771" s="15" t="n">
        <x:f>D771*(1-E771)</x:f>
        <x:v>324.35</x:v>
      </x:c>
      <x:c r="I771" s="15" t="n">
        <x:f>F771+G771</x:f>
        <x:v>190</x:v>
      </x:c>
      <x:c r="J771" s="15" t="n">
        <x:f>H771-I771</x:f>
        <x:v>134.35000000000002</x:v>
      </x:c>
      <x:c r="K771" s="16" t="n">
        <x:f>IFERROR(J771/H771,0)</x:f>
        <x:v>0.4142130414675505</x:v>
      </x:c>
      <x:c r="L771" s="14" t="str">
        <x:f>IF(J771&gt;0,"Provisional positive contribution","Not viable")</x:f>
        <x:v>Provisional positive contribution</x:v>
      </x:c>
    </x:row>
  </x:sheetData>
  <x:mergeCells>
    <x:mergeCell ref="A1:L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2" hidden="0" customWidth="1"/>
    <x:col min="2" max="2" width="16" hidden="0" customWidth="1"/>
    <x:col min="3" max="3" width="16" hidden="0" customWidth="1"/>
    <x:col min="4" max="4" width="15" hidden="0" customWidth="1"/>
    <x:col min="5" max="5" width="15" hidden="0" customWidth="1"/>
    <x:col min="6" max="6" width="55" hidden="0" customWidth="1"/>
  </x:cols>
  <x:sheetData>
    <x:row r="1" ht="28" customHeight="1">
      <x:c r="A1" s="4" t="str">
        <x:v>MODEL CHECKS</x:v>
      </x:c>
      <x:c r="B1" s="4" t="str">
        <x:v>MODEL CHECKS</x:v>
      </x:c>
      <x:c r="C1" s="4" t="str">
        <x:v>MODEL CHECKS</x:v>
      </x:c>
      <x:c r="D1" s="4" t="str">
        <x:v>MODEL CHECKS</x:v>
      </x:c>
      <x:c r="E1" s="4" t="str">
        <x:v>MODEL CHECKS</x:v>
      </x:c>
      <x:c r="F1" s="4" t="str">
        <x:v>MODEL CHECKS</x:v>
      </x:c>
    </x:row>
    <x:row r="3">
      <x:c r="A3" s="11" t="str">
        <x:v>Check</x:v>
      </x:c>
      <x:c r="B3" s="11" t="str">
        <x:v>Actual</x:v>
      </x:c>
      <x:c r="C3" s="11" t="str">
        <x:v>Expected</x:v>
      </x:c>
      <x:c r="D3" s="11" t="str">
        <x:v>Difference</x:v>
      </x:c>
      <x:c r="E3" s="11" t="str">
        <x:v>Status</x:v>
      </x:c>
      <x:c r="F3" s="11" t="str">
        <x:v>Note</x:v>
      </x:c>
    </x:row>
    <x:row r="4">
      <x:c r="A4" s="14" t="str">
        <x:v>Options in inputs</x:v>
      </x:c>
      <x:c r="B4" s="14" t="n">
        <x:f>COUNTA('Inputs'!A4:A6)</x:f>
        <x:v>3</x:v>
      </x:c>
      <x:c r="C4" s="14" t="n">
        <x:v>3</x:v>
      </x:c>
      <x:c r="D4" s="14" t="n">
        <x:f>B4-C4</x:f>
        <x:v>0</x:v>
      </x:c>
      <x:c r="E4" s="14" t="str">
        <x:f>IF(D4=0,"OK","CHECK")</x:f>
        <x:v>OK</x:v>
      </x:c>
      <x:c r="F4" s="14" t="str">
        <x:v>Three T-Shirts Cape Town options modelled</x:v>
      </x:c>
    </x:row>
    <x:row r="5">
      <x:c r="A5" s="14" t="str">
        <x:v>Quantity scenarios</x:v>
      </x:c>
      <x:c r="B5" s="14" t="n">
        <x:f>COUNTA('Quantity scenarios'!A4:A15)</x:f>
        <x:v>12</x:v>
      </x:c>
      <x:c r="C5" s="14" t="n">
        <x:v>12</x:v>
      </x:c>
      <x:c r="D5" s="14" t="n">
        <x:f>B5-C5</x:f>
        <x:v>0</x:v>
      </x:c>
      <x:c r="E5" s="14" t="str">
        <x:f>IF(D5=0,"OK","CHECK")</x:f>
        <x:v>OK</x:v>
      </x:c>
      <x:c r="F5" s="14" t="str">
        <x:v>3 options × 4 quantities</x:v>
      </x:c>
    </x:row>
    <x:row r="6">
      <x:c r="A6" s="14" t="str">
        <x:v>Sensitivity rows</x:v>
      </x:c>
      <x:c r="B6" s="14" t="n">
        <x:f>COUNTA('ODO sensitivity'!A4:A771)</x:f>
        <x:v>768</x:v>
      </x:c>
      <x:c r="C6" s="14" t="n">
        <x:v>768</x:v>
      </x:c>
      <x:c r="D6" s="14" t="n">
        <x:f>B6-C6</x:f>
        <x:v>0</x:v>
      </x:c>
      <x:c r="E6" s="14" t="str">
        <x:f>IF(D6=0,"OK","CHECK")</x:f>
        <x:v>OK</x:v>
      </x:c>
      <x:c r="F6" s="14" t="str">
        <x:v>3 options × 4 quantities × 4 retail × 4 ODO price × 4 margin</x:v>
      </x:c>
    </x:row>
    <x:row r="7">
      <x:c r="A7" s="14" t="str">
        <x:v>ODO warehouse courier</x:v>
      </x:c>
      <x:c r="B7" s="14" t="n">
        <x:f>'Inputs'!F4</x:f>
        <x:v>0</x:v>
      </x:c>
      <x:c r="C7" s="14" t="n">
        <x:v>0</x:v>
      </x:c>
      <x:c r="D7" s="14" t="n">
        <x:f>B7-C7</x:f>
        <x:v>0</x:v>
      </x:c>
      <x:c r="E7" s="14" t="str">
        <x:f>IF(D7=0,"OK","CHECK")</x:f>
        <x:v>OK</x:v>
      </x:c>
      <x:c r="F7" s="14" t="str">
        <x:v>Munya personally delivers; source input only</x:v>
      </x:c>
    </x:row>
    <x:row r="8">
      <x:c r="A8" s="14" t="str">
        <x:v>Unknown costs treated as zero</x:v>
      </x:c>
      <x:c r="B8" s="14" t="n">
        <x:f>COUNTIF('Inputs'!G9:G16,"PENDING QUOTE")</x:f>
        <x:v>8</x:v>
      </x:c>
      <x:c r="C8" s="14" t="n">
        <x:v>8</x:v>
      </x:c>
      <x:c r="D8" s="14" t="n">
        <x:f>B8-C8</x:f>
        <x:v>0</x:v>
      </x:c>
      <x:c r="E8" s="14" t="str">
        <x:f>IF(D8=0,"OK","CHECK")</x:f>
        <x:v>OK</x:v>
      </x:c>
      <x:c r="F8" s="14" t="str">
        <x:v>All are explicitly labelled PENDING QUOTE; therefore model is not launch-ready</x:v>
      </x:c>
    </x:row>
    <x:row r="10" ht="36" customHeight="1">
      <x:c r="A10" s="6" t="str">
        <x:v>Finance audit conclusion: formula mechanics pass if all status cells are OK. Commercial release remains blocked because stock, packaging, transport, capacity, returns and ODO commercial terms are not verified values.</x:v>
      </x:c>
    </x:row>
  </x:sheetData>
  <x:mergeCells>
    <x:mergeCell ref="A1:F1"/>
    <x:mergeCell ref="A10:F10"/>
  </x:mergeCells>
  <x:pageMargins left="0.7" right="0.7" top="0.75" bottom="0.75" header="0.3" footer="0.3"/>
</x:worksheet>
</file>